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بيانات_الخام" sheetId="1" state="visible" r:id="rId3"/>
    <sheet name="التحليل" sheetId="2" state="visible" r:id="rId4"/>
    <sheet name="الملخص_والاستنتاجا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<sst xmlns="http://schemas.openxmlformats.org/spreadsheetml/2006/main" count="923" uniqueCount="187">
  <si>
    <t xml:space="preserve">رقم الطلب</t>
  </si>
  <si>
    <t xml:space="preserve">التاريخ</t>
  </si>
  <si>
    <t xml:space="preserve">المنتج</t>
  </si>
  <si>
    <t xml:space="preserve">الفئة</t>
  </si>
  <si>
    <t xml:space="preserve">المنطقة</t>
  </si>
  <si>
    <t xml:space="preserve">الكمية</t>
  </si>
  <si>
    <t xml:space="preserve">سعر الوحدة</t>
  </si>
  <si>
    <t xml:space="preserve">الإجمالي</t>
  </si>
  <si>
    <t xml:space="preserve">2026-01-01</t>
  </si>
  <si>
    <t xml:space="preserve">قميص رجالي</t>
  </si>
  <si>
    <t xml:space="preserve">ملابس</t>
  </si>
  <si>
    <t xml:space="preserve">مكة</t>
  </si>
  <si>
    <t xml:space="preserve">2026-01-05</t>
  </si>
  <si>
    <t xml:space="preserve">كتاب</t>
  </si>
  <si>
    <t xml:space="preserve">كتب</t>
  </si>
  <si>
    <t xml:space="preserve">الدمام</t>
  </si>
  <si>
    <t xml:space="preserve">2026-01-07</t>
  </si>
  <si>
    <t xml:space="preserve">سماعات لاسلكية</t>
  </si>
  <si>
    <t xml:space="preserve">إلكترونيات</t>
  </si>
  <si>
    <t xml:space="preserve">المدينة</t>
  </si>
  <si>
    <t xml:space="preserve">2026-01-08</t>
  </si>
  <si>
    <t xml:space="preserve">حقيبة ظهر</t>
  </si>
  <si>
    <t xml:space="preserve">إكسسوارات</t>
  </si>
  <si>
    <t xml:space="preserve">2026-01-10</t>
  </si>
  <si>
    <t xml:space="preserve">فستان نسائي</t>
  </si>
  <si>
    <t xml:space="preserve">جدة</t>
  </si>
  <si>
    <t xml:space="preserve">2026-01-11</t>
  </si>
  <si>
    <t xml:space="preserve">لابتوب</t>
  </si>
  <si>
    <t xml:space="preserve">2026-01-12</t>
  </si>
  <si>
    <t xml:space="preserve">2026-01-15</t>
  </si>
  <si>
    <t xml:space="preserve">هاتف ذكي</t>
  </si>
  <si>
    <t xml:space="preserve">2026-01-17</t>
  </si>
  <si>
    <t xml:space="preserve">ساعة ذكية</t>
  </si>
  <si>
    <t xml:space="preserve">2026-01-18</t>
  </si>
  <si>
    <t xml:space="preserve">2026-01-19</t>
  </si>
  <si>
    <t xml:space="preserve">2026-01-20</t>
  </si>
  <si>
    <t xml:space="preserve">الرياض</t>
  </si>
  <si>
    <t xml:space="preserve">عطر</t>
  </si>
  <si>
    <t xml:space="preserve">عناية شخصية</t>
  </si>
  <si>
    <t xml:space="preserve">2026-01-21</t>
  </si>
  <si>
    <t xml:space="preserve">2026-01-22</t>
  </si>
  <si>
    <t xml:space="preserve">كريم ترطيب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</si>
  <si>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</si>
  <si>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</si>
  <si>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</si>
  <si>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</si>
  <si>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</si>
  <si>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2026-01-29</t>
  </si>
  <si>
    <t xml:space="preserve">2026-01-30</t>
  </si>
  <si>
    <t xml:space="preserve">حذاء رياضي</t>
  </si>
  <si>
    <t xml:space="preserve">2026-02-02</t>
  </si>
  <si>
    <t xml:space="preserve">2026-02-06</t>
  </si>
  <si>
    <t xml:space="preserve">2026-02-08</t>
  </si>
  <si>
    <t xml:space="preserve">2026-02-09</t>
  </si>
  <si>
    <t xml:space="preserve">2026-02-11</t>
  </si>
  <si>
    <t xml:space="preserve">2026-02-12</t>
  </si>
  <si>
    <t xml:space="preserve">2026-02-14</t>
  </si>
  <si>
    <t xml:space="preserve">نظارة شمسية</t>
  </si>
  <si>
    <t xml:space="preserve">2026-02-15</t>
  </si>
  <si>
    <t xml:space="preserve">2026-02-16</t>
  </si>
  <si>
    <t xml:space="preserve">2026-02-17</t>
  </si>
  <si>
    <t xml:space="preserve">2026-02-19</t>
  </si>
  <si>
    <t xml:space="preserve">2026-02-20</t>
  </si>
  <si>
    <t xml:space="preserve">2026-02-22</t>
  </si>
  <si>
    <t xml:space="preserve">2026-02-24</t>
  </si>
  <si>
    <t xml:space="preserve">2026-02-26</t>
  </si>
  <si>
    <t xml:space="preserve">2026-02-27</t>
  </si>
  <si>
    <t xml:space="preserve">2026-03-01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</si>
  <si>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</si>
  <si>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</si>
  <si>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</si>
  <si>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</si>
  <si>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</si>
  <si>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</si>
  <si>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</si>
  <si>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</si>
  <si>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</si>
  <si>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</si>
  <si>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</si>
  <si>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</si>
  <si>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</si>
  <si>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</si>
  <si>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</si>
  <si>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</si>
  <si>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2026-03-20</t>
  </si>
  <si>
    <t xml:space="preserve">2026-03-21</t>
  </si>
  <si>
    <t xml:space="preserve">2026-03-22</t>
  </si>
  <si>
    <t xml:space="preserve">2026-03-24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</si>
  <si>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</si>
  <si>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</si>
  <si>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</si>
  <si>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</si>
  <si>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</si>
  <si>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</si>
  <si>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2026-04-04</t>
  </si>
  <si>
    <t xml:space="preserve">2026-04-08</t>
  </si>
  <si>
    <t xml:space="preserve">2026-04-10</t>
  </si>
  <si>
    <t xml:space="preserve">2026-04-11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</si>
  <si>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</si>
  <si>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</si>
  <si>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</si>
  <si>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</si>
  <si>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</si>
  <si>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</si>
  <si>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</si>
  <si>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</si>
  <si>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</si>
  <si>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2026-04-23</t>
  </si>
  <si>
    <t xml:space="preserve">2026-04-26</t>
  </si>
  <si>
    <t xml:space="preserve">2026-04-28</t>
  </si>
  <si>
    <t xml:space="preserve">2026-04-30</t>
  </si>
  <si>
    <t xml:space="preserve">2026-05-02</t>
  </si>
  <si>
    <t xml:space="preserve">2026-05-03</t>
  </si>
  <si>
    <t xml:space="preserve">2026-05-06</t>
  </si>
  <si>
    <t xml:space="preserve">2026-05-07</t>
  </si>
  <si>
    <t xml:space="preserve">2026-05-10</t>
  </si>
  <si>
    <t xml:space="preserve">2026-05-11</t>
  </si>
  <si>
    <t xml:space="preserve">2026-05-13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</si>
  <si>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</si>
  <si>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</si>
  <si>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</si>
  <si>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</si>
  <si>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2026-05-21</t>
  </si>
  <si>
    <t xml:space="preserve">2026-05-22</t>
  </si>
  <si>
    <t xml:space="preserve">2026-05-23</t>
  </si>
  <si>
    <t xml:space="preserve">2026-05-26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</si>
  <si>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</si>
  <si>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</si>
  <si>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</si>
  <si>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</si>
  <si>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2026-06-02</t>
  </si>
  <si>
    <t xml:space="preserve">2026-06-05</t>
  </si>
  <si>
    <t xml:space="preserve">2026-06-07</t>
  </si>
  <si>
    <t xml:space="preserve">2026-06-08</t>
  </si>
  <si>
    <t xml:space="preserve">2026-06-09</t>
  </si>
  <si>
    <t xml:space="preserve">2026-06-12</t>
  </si>
  <si>
    <t xml:space="preserve">2026-06-13</t>
  </si>
  <si>
    <t xml:space="preserve">2026-06-15</t>
  </si>
  <si>
    <t xml:space="preserve">2026-06-16</t>
  </si>
  <si>
    <t xml:space="preserve">2026-06-18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</si>
  <si>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</si>
  <si>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</si>
  <si>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</si>
  <si>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</si>
  <si>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</si>
  <si>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2026-06-27</t>
  </si>
  <si>
    <t xml:space="preserve">2026-06-28</t>
  </si>
  <si>
    <t xml:space="preserve">2026-06-29</t>
  </si>
  <si>
    <t xml:space="preserve">2026-07-02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</si>
  <si>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</si>
  <si>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</si>
  <si>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</si>
  <si>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</si>
  <si>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</si>
  <si>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</si>
  <si>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2026-07-12</t>
  </si>
  <si>
    <t xml:space="preserve">2026-07-13</t>
  </si>
  <si>
    <t xml:space="preserve">2026-07-16</t>
  </si>
  <si>
    <t xml:space="preserve">2026-07-17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</si>
  <si>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</si>
  <si>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</si>
  <si>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</si>
  <si>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</si>
  <si>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</si>
  <si>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</si>
  <si>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</si>
  <si>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2026-07-30</t>
  </si>
  <si>
    <t xml:space="preserve">تحليل مبيعات المتجر الإلكتروني — الربع الأول والثاني 2026</t>
  </si>
  <si>
    <t xml:space="preserve">البيانات مصدرها بيانات مبيعات داخلية توضيحية (Sample Data) لأغراض التدريب</t>
  </si>
  <si>
    <t xml:space="preserve">المبيعات حسب الفئة</t>
  </si>
  <si>
    <t xml:space="preserve">إجمالي المبيعات (ر.س)</t>
  </si>
  <si>
    <t xml:space="preserve">عدد الطلبات</t>
  </si>
  <si>
    <t xml:space="preserve">المبيعات حسب المنطقة</t>
  </si>
  <si>
    <t xml:space="preserve">مؤشرات رئيسية (KPIs)</t>
  </si>
  <si>
    <t xml:space="preserve">إجمالي الإيرادات</t>
  </si>
  <si>
    <t xml:space="preserve">متوسط قيمة الطلب</t>
  </si>
  <si>
    <t xml:space="preserve">الفئة الأعلى مبيعًا</t>
  </si>
  <si>
    <t xml:space="preserve">الملخص والاستنتاجات</t>
  </si>
  <si>
    <t xml:space="preserve">هذا المشروع تدريبي يهدف إلى تطبيق مهارات تحليل البيانات باستخدام Excel على بيانات مبيعات وهمية لمتجر إلكتروني.</t>
  </si>
  <si>
    <t xml:space="preserve">أهم الملاحظات:</t>
  </si>
  <si>
    <t xml:space="preserve">• تتصدر فئة الإلكترونيات إجمالي المبيعات، تليها الملابس.</t>
  </si>
  <si>
    <t xml:space="preserve">• تتوزع المبيعات بشكل متقارب نسبيًا بين المناطق الخمس المشمولة في البيانات.</t>
  </si>
  <si>
    <t xml:space="preserve">• متوسط قيمة الطلب يُحسب تلقائيًا في ورقة (التحليل) عبر صيغة ديناميكية تتحدث مع أي تغيير في البيانات الخام.</t>
  </si>
  <si>
    <t xml:space="preserve">الأدوات المستخدمة:</t>
  </si>
  <si>
    <t xml:space="preserve">• Microsoft Excel (صيغ SUMIFS و COUNTIF و INDEX/MATCH)</t>
  </si>
  <si>
    <t xml:space="preserve">• رسوم بيانية (Bar Chart و Pie Chart) لتمثيل النتائج بصريًا</t>
  </si>
  <si>
    <t xml:space="preserve">ملاحظة: جميع البيانات في ورقة (البيانات_الخام) بيانات تجريبية تم توليدها لأغراض التدريب فقط، وليست بيانات فعلية.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</si>
</sst>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ر.س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b val="true"/>
      <sz val="10"/>
      <color rgb="FF000000"/>
      <name val="FreeSans"/>
      <family val="2"/>
    </font>
    <font>
      <b val="true"/>
      <sz val="10"/>
      <color rgb="FF000000"/>
      <name val="Calibri"/>
      <family val="2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إجمالي المبيعات حسب الفئة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التحليل!B5</c:f>
              <c:strCache>
                <c:ptCount val="1"/>
                <c:pt idx="0">
                  <c:v>إجمالي المبيعات (ر.س)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التحليل!$A$6:$A$10</c:f>
              <c:strCache>
                <c:ptCount val="5"/>
                <c:pt idx="0">
                  <c:v>إلكترونيات</c:v>
                </c:pt>
                <c:pt idx="1">
                  <c:v>ملابس</c:v>
                </c:pt>
                <c:pt idx="2">
                  <c:v>إكسسوارات</c:v>
                </c:pt>
                <c:pt idx="3">
                  <c:v>عناية شخصية</c:v>
                </c:pt>
                <c:pt idx="4">
                  <c:v>كتب</c:v>
                </c:pt>
              </c:strCache>
            </c:strRef>
          </c:cat>
          <c:val>
            <c:numRef>
              <c:f>التحليل!$B$6:$B$10</c:f>
              <c:numCache>
                <c:formatCode>#,##0" ر.س"</c:formatCode>
                <c:ptCount val="5"/>
                <c:pt idx="0">
                  <c:v>280130</c:v>
                </c:pt>
                <c:pt idx="1">
                  <c:v>20220</c:v>
                </c:pt>
                <c:pt idx="2">
                  <c:v>12190</c:v>
                </c:pt>
                <c:pt idx="3">
                  <c:v>12875</c:v>
                </c:pt>
                <c:pt idx="4">
                  <c:v>2350</c:v>
                </c:pt>
              </c:numCache>
            </c:numRef>
          </c:val>
        </c:ser>
        <c:gapWidth val="150"/>
        <c:overlap val="0"/>
        <c:axId val="69457633"/>
        <c:axId val="30091607"/>
      </c:barChart>
      <c:catAx>
        <c:axId val="694576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الفئة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091607"/>
        <c:crosses val="autoZero"/>
        <c:auto val="1"/>
        <c:lblAlgn val="ctr"/>
        <c:lblOffset val="100"/>
        <c:noMultiLvlLbl val="0"/>
      </c:catAx>
      <c:valAx>
        <c:axId val="300916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المبيعات (ر.س)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ر.س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576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توزيع المبيعات حسب المنطقة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التحليل!B14</c:f>
              <c:strCache>
                <c:ptCount val="1"/>
                <c:pt idx="0">
                  <c:v>إجمالي المبيعات (ر.س)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التحليل!$A$15:$A$19</c:f>
              <c:strCache>
                <c:ptCount val="5"/>
                <c:pt idx="0">
                  <c:v>الرياض</c:v>
                </c:pt>
                <c:pt idx="1">
                  <c:v>جدة</c:v>
                </c:pt>
                <c:pt idx="2">
                  <c:v>الدمام</c:v>
                </c:pt>
                <c:pt idx="3">
                  <c:v>مكة</c:v>
                </c:pt>
                <c:pt idx="4">
                  <c:v>المدينة</c:v>
                </c:pt>
              </c:strCache>
            </c:strRef>
          </c:cat>
          <c:val>
            <c:numRef>
              <c:f>التحليل!$B$15:$B$19</c:f>
              <c:numCache>
                <c:formatCode>#,##0" ر.س"</c:formatCode>
                <c:ptCount val="5"/>
                <c:pt idx="0">
                  <c:v>68620</c:v>
                </c:pt>
                <c:pt idx="1">
                  <c:v>67255</c:v>
                </c:pt>
                <c:pt idx="2">
                  <c:v>45610</c:v>
                </c:pt>
                <c:pt idx="3">
                  <c:v>87800</c:v>
                </c:pt>
                <c:pt idx="4">
                  <c:v>58480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-256320</xdr:colOff>
      <xdr:row>3</xdr:row>
      <xdr:rowOff>174240</xdr:rowOff>
    </xdr:from>
    <xdr:to>
      <xdr:col>14</xdr:col>
      <xdr:colOff>0</xdr:colOff>
      <xdr:row>20</xdr:row>
      <xdr:rowOff>175320</xdr:rowOff>
    </xdr:to>
    <xdr:graphicFrame>
      <xdr:nvGraphicFramePr>
        <xdr:cNvPr id="0" name="Chart 1"/>
        <xdr:cNvGraphicFramePr/>
      </xdr:nvGraphicFramePr>
      <xdr:xfrm>
        <a:off x="-11446200" y="762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-256320</xdr:colOff>
      <xdr:row>20</xdr:row>
      <xdr:rowOff>174240</xdr:rowOff>
    </xdr:from>
    <xdr:to>
      <xdr:col>14</xdr:col>
      <xdr:colOff>0</xdr:colOff>
      <xdr:row>37</xdr:row>
      <xdr:rowOff>175320</xdr:rowOff>
    </xdr:to>
    <xdr:graphicFrame>
      <xdr:nvGraphicFramePr>
        <xdr:cNvPr id="1" name="Chart 2"/>
        <xdr:cNvGraphicFramePr/>
      </xdr:nvGraphicFramePr>
      <xdr:xfrm>
        <a:off x="-11446200" y="4000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1116</v>
      </c>
      <c r="B2" s="2" t="s">
        <v>8</v>
      </c>
      <c r="C2" s="2" t="s">
        <v>9</v>
      </c>
      <c r="D2" s="2" t="s">
        <v>10</v>
      </c>
      <c r="E2" s="2" t="s">
        <v>11</v>
      </c>
      <c r="F2" s="2" t="n">
        <v>1</v>
      </c>
      <c r="G2" s="3" t="n">
        <v>110</v>
      </c>
      <c r="H2" s="3" t="n">
        <f aca="false">F2*G2</f>
        <v>110</v>
      </c>
    </row>
    <row r="3" customFormat="false" ht="15" hidden="false" customHeight="false" outlineLevel="0" collapsed="false">
      <c r="A3" s="2" t="n">
        <v>1152</v>
      </c>
      <c r="B3" s="2" t="s">
        <v>12</v>
      </c>
      <c r="C3" s="2" t="s">
        <v>13</v>
      </c>
      <c r="D3" s="2" t="s">
        <v>14</v>
      </c>
      <c r="E3" s="2" t="s">
        <v>15</v>
      </c>
      <c r="F3" s="2" t="n">
        <v>2</v>
      </c>
      <c r="G3" s="3" t="n">
        <v>40</v>
      </c>
      <c r="H3" s="3" t="n">
        <f aca="false">F3*G3</f>
        <v>80</v>
      </c>
    </row>
    <row r="4" customFormat="false" ht="15" hidden="false" customHeight="false" outlineLevel="0" collapsed="false">
      <c r="A4" s="2" t="n">
        <v>1214</v>
      </c>
      <c r="B4" s="2" t="s">
        <v>16</v>
      </c>
      <c r="C4" s="2" t="s">
        <v>17</v>
      </c>
      <c r="D4" s="2" t="s">
        <v>18</v>
      </c>
      <c r="E4" s="2" t="s">
        <v>19</v>
      </c>
      <c r="F4" s="2" t="n">
        <v>1</v>
      </c>
      <c r="G4" s="3" t="n">
        <v>370</v>
      </c>
      <c r="H4" s="3" t="n">
        <f aca="false">F4*G4</f>
        <v>370</v>
      </c>
    </row>
    <row r="5" customFormat="false" ht="15" hidden="false" customHeight="false" outlineLevel="0" collapsed="false">
      <c r="A5" s="2" t="n">
        <v>1173</v>
      </c>
      <c r="B5" s="2" t="s">
        <v>20</v>
      </c>
      <c r="C5" s="2" t="s">
        <v>21</v>
      </c>
      <c r="D5" s="2" t="s">
        <v>22</v>
      </c>
      <c r="E5" s="2" t="s">
        <v>11</v>
      </c>
      <c r="F5" s="2" t="n">
        <v>1</v>
      </c>
      <c r="G5" s="3" t="n">
        <v>180</v>
      </c>
      <c r="H5" s="3" t="n">
        <f aca="false">F5*G5</f>
        <v>180</v>
      </c>
    </row>
    <row r="6" customFormat="false" ht="15" hidden="false" customHeight="false" outlineLevel="0" collapsed="false">
      <c r="A6" s="2" t="n">
        <v>1091</v>
      </c>
      <c r="B6" s="2" t="s">
        <v>23</v>
      </c>
      <c r="C6" s="2" t="s">
        <v>24</v>
      </c>
      <c r="D6" s="2" t="s">
        <v>10</v>
      </c>
      <c r="E6" s="2" t="s">
        <v>25</v>
      </c>
      <c r="F6" s="2" t="n">
        <v>2</v>
      </c>
      <c r="G6" s="3" t="n">
        <v>290</v>
      </c>
      <c r="H6" s="3" t="n">
        <f aca="false">F6*G6</f>
        <v>580</v>
      </c>
    </row>
    <row r="7" customFormat="false" ht="15" hidden="false" customHeight="false" outlineLevel="0" collapsed="false">
      <c r="A7" s="2" t="n">
        <v>1099</v>
      </c>
      <c r="B7" s="2" t="s">
        <v>23</v>
      </c>
      <c r="C7" s="2" t="s">
        <v>21</v>
      </c>
      <c r="D7" s="2" t="s">
        <v>22</v>
      </c>
      <c r="E7" s="2" t="s">
        <v>11</v>
      </c>
      <c r="F7" s="2" t="n">
        <v>1</v>
      </c>
      <c r="G7" s="3" t="n">
        <v>180</v>
      </c>
      <c r="H7" s="3" t="n">
        <f aca="false">F7*G7</f>
        <v>180</v>
      </c>
    </row>
    <row r="8" customFormat="false" ht="15" hidden="false" customHeight="false" outlineLevel="0" collapsed="false">
      <c r="A8" s="2" t="n">
        <v>1105</v>
      </c>
      <c r="B8" s="2" t="s">
        <v>23</v>
      </c>
      <c r="C8" s="2" t="s">
        <v>17</v>
      </c>
      <c r="D8" s="2" t="s">
        <v>18</v>
      </c>
      <c r="E8" s="2" t="s">
        <v>15</v>
      </c>
      <c r="F8" s="2" t="n">
        <v>2</v>
      </c>
      <c r="G8" s="3" t="n">
        <v>350</v>
      </c>
      <c r="H8" s="3" t="n">
        <f aca="false">F8*G8</f>
        <v>700</v>
      </c>
    </row>
    <row r="9" customFormat="false" ht="15" hidden="false" customHeight="false" outlineLevel="0" collapsed="false">
      <c r="A9" s="2" t="n">
        <v>1216</v>
      </c>
      <c r="B9" s="2" t="s">
        <v>26</v>
      </c>
      <c r="C9" s="2" t="s">
        <v>27</v>
      </c>
      <c r="D9" s="2" t="s">
        <v>18</v>
      </c>
      <c r="E9" s="2" t="s">
        <v>11</v>
      </c>
      <c r="F9" s="2" t="n">
        <v>2</v>
      </c>
      <c r="G9" s="3" t="n">
        <v>5810</v>
      </c>
      <c r="H9" s="3" t="n">
        <f aca="false">F9*G9</f>
        <v>11620</v>
      </c>
    </row>
    <row r="10" customFormat="false" ht="15" hidden="false" customHeight="false" outlineLevel="0" collapsed="false">
      <c r="A10" s="2" t="n">
        <v>1108</v>
      </c>
      <c r="B10" s="2" t="s">
        <v>28</v>
      </c>
      <c r="C10" s="2" t="s">
        <v>13</v>
      </c>
      <c r="D10" s="2" t="s">
        <v>14</v>
      </c>
      <c r="E10" s="2" t="s">
        <v>19</v>
      </c>
      <c r="F10" s="2" t="n">
        <v>2</v>
      </c>
      <c r="G10" s="3" t="n">
        <v>40</v>
      </c>
      <c r="H10" s="3" t="n">
        <f aca="false">F10*G10</f>
        <v>80</v>
      </c>
    </row>
    <row r="11" customFormat="false" ht="15" hidden="false" customHeight="false" outlineLevel="0" collapsed="false">
      <c r="A11" s="2" t="n">
        <v>1068</v>
      </c>
      <c r="B11" s="2" t="s">
        <v>29</v>
      </c>
      <c r="C11" s="2" t="s">
        <v>30</v>
      </c>
      <c r="D11" s="2" t="s">
        <v>18</v>
      </c>
      <c r="E11" s="2" t="s">
        <v>19</v>
      </c>
      <c r="F11" s="2" t="n">
        <v>2</v>
      </c>
      <c r="G11" s="3" t="n">
        <v>3200</v>
      </c>
      <c r="H11" s="3" t="n">
        <f aca="false">F11*G11</f>
        <v>6400</v>
      </c>
    </row>
    <row r="12" customFormat="false" ht="15" hidden="false" customHeight="false" outlineLevel="0" collapsed="false">
      <c r="A12" s="2" t="n">
        <v>1023</v>
      </c>
      <c r="B12" s="2" t="s">
        <v>31</v>
      </c>
      <c r="C12" s="2" t="s">
        <v>32</v>
      </c>
      <c r="D12" s="2" t="s">
        <v>18</v>
      </c>
      <c r="E12" s="2" t="s">
        <v>15</v>
      </c>
      <c r="F12" s="2" t="n">
        <v>2</v>
      </c>
      <c r="G12" s="3" t="n">
        <v>920</v>
      </c>
      <c r="H12" s="3" t="n">
        <f aca="false">F12*G12</f>
        <v>1840</v>
      </c>
    </row>
    <row r="13" customFormat="false" ht="15" hidden="false" customHeight="false" outlineLevel="0" collapsed="false">
      <c r="A13" s="2" t="n">
        <v>1050</v>
      </c>
      <c r="B13" s="2" t="s">
        <v>33</v>
      </c>
      <c r="C13" s="2" t="s">
        <v>30</v>
      </c>
      <c r="D13" s="2" t="s">
        <v>18</v>
      </c>
      <c r="E13" s="2" t="s">
        <v>19</v>
      </c>
      <c r="F13" s="2" t="n">
        <v>1</v>
      </c>
      <c r="G13" s="3" t="n">
        <v>3180</v>
      </c>
      <c r="H13" s="3" t="n">
        <f aca="false">F13*G13</f>
        <v>3180</v>
      </c>
    </row>
    <row r="14" customFormat="false" ht="15" hidden="false" customHeight="false" outlineLevel="0" collapsed="false">
      <c r="A14" s="2" t="n">
        <v>1079</v>
      </c>
      <c r="B14" s="2" t="s">
        <v>33</v>
      </c>
      <c r="C14" s="2" t="s">
        <v>32</v>
      </c>
      <c r="D14" s="2" t="s">
        <v>18</v>
      </c>
      <c r="E14" s="2" t="s">
        <v>25</v>
      </c>
      <c r="F14" s="2" t="n">
        <v>1</v>
      </c>
      <c r="G14" s="3" t="n">
        <v>900</v>
      </c>
      <c r="H14" s="3" t="n">
        <f aca="false">F14*G14</f>
        <v>900</v>
      </c>
    </row>
    <row r="15" customFormat="false" ht="15" hidden="false" customHeight="false" outlineLevel="0" collapsed="false">
      <c r="A15" s="2" t="n">
        <v>1102</v>
      </c>
      <c r="B15" s="2" t="s">
        <v>33</v>
      </c>
      <c r="C15" s="2" t="s">
        <v>9</v>
      </c>
      <c r="D15" s="2" t="s">
        <v>10</v>
      </c>
      <c r="E15" s="2" t="s">
        <v>19</v>
      </c>
      <c r="F15" s="2" t="n">
        <v>1</v>
      </c>
      <c r="G15" s="3" t="n">
        <v>140</v>
      </c>
      <c r="H15" s="3" t="n">
        <f aca="false">F15*G15</f>
        <v>140</v>
      </c>
    </row>
    <row r="16" customFormat="false" ht="15" hidden="false" customHeight="false" outlineLevel="0" collapsed="false">
      <c r="A16" s="2" t="n">
        <v>1049</v>
      </c>
      <c r="B16" s="2" t="s">
        <v>34</v>
      </c>
      <c r="C16" s="2" t="s">
        <v>13</v>
      </c>
      <c r="D16" s="2" t="s">
        <v>14</v>
      </c>
      <c r="E16" s="2" t="s">
        <v>25</v>
      </c>
      <c r="F16" s="2" t="n">
        <v>3</v>
      </c>
      <c r="G16" s="3" t="n">
        <v>40</v>
      </c>
      <c r="H16" s="3" t="n">
        <f aca="false">F16*G16</f>
        <v>120</v>
      </c>
    </row>
    <row r="17" customFormat="false" ht="15" hidden="false" customHeight="false" outlineLevel="0" collapsed="false">
      <c r="A17" s="2" t="n">
        <v>1060</v>
      </c>
      <c r="B17" s="2" t="s">
        <v>35</v>
      </c>
      <c r="C17" s="2" t="s">
        <v>21</v>
      </c>
      <c r="D17" s="2" t="s">
        <v>22</v>
      </c>
      <c r="E17" s="2" t="s">
        <v>36</v>
      </c>
      <c r="F17" s="2" t="n">
        <v>2</v>
      </c>
      <c r="G17" s="3" t="n">
        <v>170</v>
      </c>
      <c r="H17" s="3" t="n">
        <f aca="false">F17*G17</f>
        <v>340</v>
      </c>
    </row>
    <row r="18" customFormat="false" ht="15" hidden="false" customHeight="false" outlineLevel="0" collapsed="false">
      <c r="A18" s="2" t="n">
        <v>1161</v>
      </c>
      <c r="B18" s="2" t="s">
        <v>35</v>
      </c>
      <c r="C18" s="2" t="s">
        <v>37</v>
      </c>
      <c r="D18" s="2" t="s">
        <v>38</v>
      </c>
      <c r="E18" s="2" t="s">
        <v>25</v>
      </c>
      <c r="F18" s="2" t="n">
        <v>3</v>
      </c>
      <c r="G18" s="3" t="n">
        <v>400</v>
      </c>
      <c r="H18" s="3" t="n">
        <f aca="false">F18*G18</f>
        <v>1200</v>
      </c>
    </row>
    <row r="19" customFormat="false" ht="15" hidden="false" customHeight="false" outlineLevel="0" collapsed="false">
      <c r="A19" s="2" t="n">
        <v>1136</v>
      </c>
      <c r="B19" s="2" t="s">
        <v>39</v>
      </c>
      <c r="C19" s="2" t="s">
        <v>27</v>
      </c>
      <c r="D19" s="2" t="s">
        <v>18</v>
      </c>
      <c r="E19" s="2" t="s">
        <v>11</v>
      </c>
      <c r="F19" s="2" t="n">
        <v>1</v>
      </c>
      <c r="G19" s="3" t="n">
        <v>5790</v>
      </c>
      <c r="H19" s="3" t="n">
        <f aca="false">F19*G19</f>
        <v>5790</v>
      </c>
    </row>
    <row r="20" customFormat="false" ht="15" hidden="false" customHeight="false" outlineLevel="0" collapsed="false">
      <c r="A20" s="2" t="n">
        <v>1041</v>
      </c>
      <c r="B20" s="2" t="s">
        <v>40</v>
      </c>
      <c r="C20" s="2" t="s">
        <v>13</v>
      </c>
      <c r="D20" s="2" t="s">
        <v>14</v>
      </c>
      <c r="E20" s="2" t="s">
        <v>19</v>
      </c>
      <c r="F20" s="2" t="n">
        <v>2</v>
      </c>
      <c r="G20" s="3" t="n">
        <v>40</v>
      </c>
      <c r="H20" s="3" t="n">
        <f aca="false">F20*G20</f>
        <v>80</v>
      </c>
    </row>
    <row r="21" customFormat="false" ht="15" hidden="false" customHeight="false" outlineLevel="0" collapsed="false">
      <c r="A21" s="2" t="n">
        <v>1148</v>
      </c>
      <c r="B21" s="2" t="s">
        <v>40</v>
      </c>
      <c r="C21" s="2" t="s">
        <v>41</v>
      </c>
      <c r="D21" s="2" t="s">
        <v>38</v>
      </c>
      <c r="E21" s="2" t="s">
        <v>11</v>
      </c>
      <c r="F21" s="2" t="n">
        <v>2</v>
      </c>
      <c r="G21" s="3" t="n">
        <v>85</v>
      </c>
      <c r="H21" s="3" t="n">
        <f aca="false">F21*G21</f>
        <v>170</v>
      </c>
    </row>
    <row r="22" customFormat="false" ht="15" hidden="false" customHeight="false" outlineLevel="0" collapsed="false">
      <c r="A22" s="2" t="n">
        <v>1171</v>
      </c>
      <c r="B22" s="2" t="s">
        <v>42</v>
      </c>
      <c r="C22" s="2" t="s">
        <v>9</v>
      </c>
      <c r="D22" s="2" t="s">
        <v>10</v>
      </c>
      <c r="E22" s="2" t="s">
        <v>11</v>
      </c>
      <c r="F22" s="2" t="n">
        <v>2</v>
      </c>
      <c r="G22" s="3" t="n">
        <v>110</v>
      </c>
      <c r="H22" s="3" t="n">
        <f aca="false">F22*G22</f>
        <v>220</v>
      </c>
    </row>
    <row r="23" customFormat="false" ht="15" hidden="false" customHeight="false" outlineLevel="0" collapsed="false">
      <c r="A23" s="2" t="n">
        <v>1179</v>
      </c>
      <c r="B23" s="2" t="s">
        <v>43</v>
      </c>
      <c r="C23" s="2" t="s">
        <v>9</v>
      </c>
      <c r="D23" s="2" t="s">
        <v>10</v>
      </c>
      <c r="E23" s="2" t="s">
        <v>25</v>
      </c>
      <c r="F23" s="2" t="n">
        <v>1</v>
      </c>
      <c r="G23" s="3" t="n">
        <v>120</v>
      </c>
      <c r="H23" s="3" t="n">
        <f aca="false">F23*G23</f>
        <v>120</v>
      </c>
    </row>
    <row r="24" customFormat="false" ht="15" hidden="false" customHeight="false" outlineLevel="0" collapsed="false">
      <c r="A24" s="2" t="n">
        <v>1218</v>
      </c>
      <c r="B24" s="2" t="s">
        <v>43</v>
      </c>
      <c r="C24" s="2" t="s">
        <v>21</v>
      </c>
      <c r="D24" s="2" t="s">
        <v>22</v>
      </c>
      <c r="E24" s="2" t="s">
        <v>15</v>
      </c>
      <c r="F24" s="2" t="n">
        <v>1</v>
      </c>
      <c r="G24" s="3" t="n">
        <v>190</v>
      </c>
      <c r="H24" s="3" t="n">
        <f aca="false">F24*G24</f>
        <v>190</v>
      </c>
    </row>
    <row r="25" customFormat="false" ht="15" hidden="false" customHeight="false" outlineLevel="0" collapsed="false">
      <c r="A25" s="2" t="n">
        <v>1054</v>
      </c>
      <c r="B25" s="2" t="s">
        <v>44</v>
      </c>
      <c r="C25" s="2" t="s">
        <v>17</v>
      </c>
      <c r="D25" s="2" t="s">
        <v>18</v>
      </c>
      <c r="E25" s="2" t="s">
        <v>15</v>
      </c>
      <c r="F25" s="2" t="n">
        <v>3</v>
      </c>
      <c r="G25" s="3" t="n">
        <v>350</v>
      </c>
      <c r="H25" s="3" t="n">
        <f aca="false">F25*G25</f>
        <v>1050</v>
      </c>
    </row>
    <row r="26" customFormat="false" ht="15" hidden="false" customHeight="false" outlineLevel="0" collapsed="false">
      <c r="A26" s="2" t="n">
        <v>1187</v>
      </c>
      <c r="B26" s="2" t="s">
        <v>45</v>
      </c>
      <c r="C26" s="2" t="s">
        <v>32</v>
      </c>
      <c r="D26" s="2" t="s">
        <v>18</v>
      </c>
      <c r="E26" s="2" t="s">
        <v>15</v>
      </c>
      <c r="F26" s="2" t="n">
        <v>1</v>
      </c>
      <c r="G26" s="3" t="n">
        <v>890</v>
      </c>
      <c r="H26" s="3" t="n">
        <f aca="false">F26*G26</f>
        <v>890</v>
      </c>
    </row>
    <row r="27" customFormat="false" ht="15" hidden="false" customHeight="false" outlineLevel="0" collapsed="false">
      <c r="A27" s="2" t="n">
        <v>1010</v>
      </c>
      <c r="B27" s="2" t="s">
        <v>46</v>
      </c>
      <c r="C27" s="2" t="s">
        <v>17</v>
      </c>
      <c r="D27" s="2" t="s">
        <v>18</v>
      </c>
      <c r="E27" s="2" t="s">
        <v>15</v>
      </c>
      <c r="F27" s="2" t="n">
        <v>2</v>
      </c>
      <c r="G27" s="3" t="n">
        <v>330</v>
      </c>
      <c r="H27" s="3" t="n">
        <f aca="false">F27*G27</f>
        <v>660</v>
      </c>
    </row>
    <row r="28" customFormat="false" ht="15" hidden="false" customHeight="false" outlineLevel="0" collapsed="false">
      <c r="A28" s="2" t="n">
        <v>1162</v>
      </c>
      <c r="B28" s="2" t="s">
        <v>46</v>
      </c>
      <c r="C28" s="2" t="s">
        <v>13</v>
      </c>
      <c r="D28" s="2" t="s">
        <v>14</v>
      </c>
      <c r="E28" s="2" t="s">
        <v>19</v>
      </c>
      <c r="F28" s="2" t="n">
        <v>1</v>
      </c>
      <c r="G28" s="3" t="n">
        <v>80</v>
      </c>
      <c r="H28" s="3" t="n">
        <f aca="false">F28*G28</f>
        <v>80</v>
      </c>
    </row>
    <row r="29" customFormat="false" ht="15" hidden="false" customHeight="false" outlineLevel="0" collapsed="false">
      <c r="A29" s="2" t="n">
        <v>1191</v>
      </c>
      <c r="B29" s="2" t="s">
        <v>46</v>
      </c>
      <c r="C29" s="2" t="s">
        <v>30</v>
      </c>
      <c r="D29" s="2" t="s">
        <v>18</v>
      </c>
      <c r="E29" s="2" t="s">
        <v>11</v>
      </c>
      <c r="F29" s="2" t="n">
        <v>2</v>
      </c>
      <c r="G29" s="3" t="n">
        <v>3200</v>
      </c>
      <c r="H29" s="3" t="n">
        <f aca="false">F29*G29</f>
        <v>6400</v>
      </c>
    </row>
    <row r="30" customFormat="false" ht="15" hidden="false" customHeight="false" outlineLevel="0" collapsed="false">
      <c r="A30" s="2" t="n">
        <v>1090</v>
      </c>
      <c r="B30" s="2" t="s">
        <v>47</v>
      </c>
      <c r="C30" s="2" t="s">
        <v>17</v>
      </c>
      <c r="D30" s="2" t="s">
        <v>18</v>
      </c>
      <c r="E30" s="2" t="s">
        <v>19</v>
      </c>
      <c r="F30" s="2" t="n">
        <v>3</v>
      </c>
      <c r="G30" s="3" t="n">
        <v>340</v>
      </c>
      <c r="H30" s="3" t="n">
        <f aca="false">F30*G30</f>
        <v>1020</v>
      </c>
    </row>
    <row r="31" customFormat="false" ht="15" hidden="false" customHeight="false" outlineLevel="0" collapsed="false">
      <c r="A31" s="2" t="n">
        <v>1083</v>
      </c>
      <c r="B31" s="2" t="s">
        <v>48</v>
      </c>
      <c r="C31" s="2" t="s">
        <v>17</v>
      </c>
      <c r="D31" s="2" t="s">
        <v>18</v>
      </c>
      <c r="E31" s="2" t="s">
        <v>25</v>
      </c>
      <c r="F31" s="2" t="n">
        <v>3</v>
      </c>
      <c r="G31" s="3" t="n">
        <v>360</v>
      </c>
      <c r="H31" s="3" t="n">
        <f aca="false">F31*G31</f>
        <v>1080</v>
      </c>
    </row>
    <row r="32" customFormat="false" ht="15" hidden="false" customHeight="false" outlineLevel="0" collapsed="false">
      <c r="A32" s="2" t="n">
        <v>1104</v>
      </c>
      <c r="B32" s="2" t="s">
        <v>48</v>
      </c>
      <c r="C32" s="2" t="s">
        <v>9</v>
      </c>
      <c r="D32" s="2" t="s">
        <v>10</v>
      </c>
      <c r="E32" s="2" t="s">
        <v>15</v>
      </c>
      <c r="F32" s="2" t="n">
        <v>1</v>
      </c>
      <c r="G32" s="3" t="n">
        <v>130</v>
      </c>
      <c r="H32" s="3" t="n">
        <f aca="false">F32*G32</f>
        <v>130</v>
      </c>
    </row>
    <row r="33" customFormat="false" ht="15" hidden="false" customHeight="false" outlineLevel="0" collapsed="false">
      <c r="A33" s="2" t="n">
        <v>1107</v>
      </c>
      <c r="B33" s="2" t="s">
        <v>48</v>
      </c>
      <c r="C33" s="2" t="s">
        <v>49</v>
      </c>
      <c r="D33" s="2" t="s">
        <v>10</v>
      </c>
      <c r="E33" s="2" t="s">
        <v>15</v>
      </c>
      <c r="F33" s="2" t="n">
        <v>2</v>
      </c>
      <c r="G33" s="3" t="n">
        <v>440</v>
      </c>
      <c r="H33" s="3" t="n">
        <f aca="false">F33*G33</f>
        <v>880</v>
      </c>
    </row>
    <row r="34" customFormat="false" ht="15" hidden="false" customHeight="false" outlineLevel="0" collapsed="false">
      <c r="A34" s="2" t="n">
        <v>1189</v>
      </c>
      <c r="B34" s="2" t="s">
        <v>50</v>
      </c>
      <c r="C34" s="2" t="s">
        <v>9</v>
      </c>
      <c r="D34" s="2" t="s">
        <v>10</v>
      </c>
      <c r="E34" s="2" t="s">
        <v>19</v>
      </c>
      <c r="F34" s="2" t="n">
        <v>1</v>
      </c>
      <c r="G34" s="3" t="n">
        <v>100</v>
      </c>
      <c r="H34" s="3" t="n">
        <f aca="false">F34*G34</f>
        <v>100</v>
      </c>
    </row>
    <row r="35" customFormat="false" ht="15" hidden="false" customHeight="false" outlineLevel="0" collapsed="false">
      <c r="A35" s="2" t="n">
        <v>1025</v>
      </c>
      <c r="B35" s="2" t="s">
        <v>51</v>
      </c>
      <c r="C35" s="2" t="s">
        <v>9</v>
      </c>
      <c r="D35" s="2" t="s">
        <v>10</v>
      </c>
      <c r="E35" s="2" t="s">
        <v>19</v>
      </c>
      <c r="F35" s="2" t="n">
        <v>1</v>
      </c>
      <c r="G35" s="3" t="n">
        <v>110</v>
      </c>
      <c r="H35" s="3" t="n">
        <f aca="false">F35*G35</f>
        <v>110</v>
      </c>
    </row>
    <row r="36" customFormat="false" ht="15" hidden="false" customHeight="false" outlineLevel="0" collapsed="false">
      <c r="A36" s="2" t="n">
        <v>1195</v>
      </c>
      <c r="B36" s="2" t="s">
        <v>52</v>
      </c>
      <c r="C36" s="2" t="s">
        <v>27</v>
      </c>
      <c r="D36" s="2" t="s">
        <v>18</v>
      </c>
      <c r="E36" s="2" t="s">
        <v>36</v>
      </c>
      <c r="F36" s="2" t="n">
        <v>2</v>
      </c>
      <c r="G36" s="3" t="n">
        <v>5800</v>
      </c>
      <c r="H36" s="3" t="n">
        <f aca="false">F36*G36</f>
        <v>11600</v>
      </c>
    </row>
    <row r="37" customFormat="false" ht="15" hidden="false" customHeight="false" outlineLevel="0" collapsed="false">
      <c r="A37" s="2" t="n">
        <v>1029</v>
      </c>
      <c r="B37" s="2" t="s">
        <v>53</v>
      </c>
      <c r="C37" s="2" t="s">
        <v>41</v>
      </c>
      <c r="D37" s="2" t="s">
        <v>38</v>
      </c>
      <c r="E37" s="2" t="s">
        <v>11</v>
      </c>
      <c r="F37" s="2" t="n">
        <v>1</v>
      </c>
      <c r="G37" s="3" t="n">
        <v>115</v>
      </c>
      <c r="H37" s="3" t="n">
        <f aca="false">F37*G37</f>
        <v>115</v>
      </c>
    </row>
    <row r="38" customFormat="false" ht="15" hidden="false" customHeight="false" outlineLevel="0" collapsed="false">
      <c r="A38" s="2" t="n">
        <v>1066</v>
      </c>
      <c r="B38" s="2" t="s">
        <v>53</v>
      </c>
      <c r="C38" s="2" t="s">
        <v>32</v>
      </c>
      <c r="D38" s="2" t="s">
        <v>18</v>
      </c>
      <c r="E38" s="2" t="s">
        <v>36</v>
      </c>
      <c r="F38" s="2" t="n">
        <v>1</v>
      </c>
      <c r="G38" s="3" t="n">
        <v>890</v>
      </c>
      <c r="H38" s="3" t="n">
        <f aca="false">F38*G38</f>
        <v>890</v>
      </c>
    </row>
    <row r="39" customFormat="false" ht="15" hidden="false" customHeight="false" outlineLevel="0" collapsed="false">
      <c r="A39" s="2" t="n">
        <v>1017</v>
      </c>
      <c r="B39" s="2" t="s">
        <v>54</v>
      </c>
      <c r="C39" s="2" t="s">
        <v>24</v>
      </c>
      <c r="D39" s="2" t="s">
        <v>10</v>
      </c>
      <c r="E39" s="2" t="s">
        <v>15</v>
      </c>
      <c r="F39" s="2" t="n">
        <v>1</v>
      </c>
      <c r="G39" s="3" t="n">
        <v>270</v>
      </c>
      <c r="H39" s="3" t="n">
        <f aca="false">F39*G39</f>
        <v>270</v>
      </c>
    </row>
    <row r="40" customFormat="false" ht="15" hidden="false" customHeight="false" outlineLevel="0" collapsed="false">
      <c r="A40" s="2" t="n">
        <v>1020</v>
      </c>
      <c r="B40" s="2" t="s">
        <v>54</v>
      </c>
      <c r="C40" s="2" t="s">
        <v>21</v>
      </c>
      <c r="D40" s="2" t="s">
        <v>22</v>
      </c>
      <c r="E40" s="2" t="s">
        <v>19</v>
      </c>
      <c r="F40" s="2" t="n">
        <v>2</v>
      </c>
      <c r="G40" s="3" t="n">
        <v>190</v>
      </c>
      <c r="H40" s="3" t="n">
        <f aca="false">F40*G40</f>
        <v>380</v>
      </c>
    </row>
    <row r="41" customFormat="false" ht="15" hidden="false" customHeight="false" outlineLevel="0" collapsed="false">
      <c r="A41" s="2" t="n">
        <v>1062</v>
      </c>
      <c r="B41" s="2" t="s">
        <v>55</v>
      </c>
      <c r="C41" s="2" t="s">
        <v>49</v>
      </c>
      <c r="D41" s="2" t="s">
        <v>10</v>
      </c>
      <c r="E41" s="2" t="s">
        <v>25</v>
      </c>
      <c r="F41" s="2" t="n">
        <v>2</v>
      </c>
      <c r="G41" s="3" t="n">
        <v>450</v>
      </c>
      <c r="H41" s="3" t="n">
        <f aca="false">F41*G41</f>
        <v>900</v>
      </c>
    </row>
    <row r="42" customFormat="false" ht="15" hidden="false" customHeight="false" outlineLevel="0" collapsed="false">
      <c r="A42" s="2" t="n">
        <v>1202</v>
      </c>
      <c r="B42" s="2" t="s">
        <v>56</v>
      </c>
      <c r="C42" s="2" t="s">
        <v>57</v>
      </c>
      <c r="D42" s="2" t="s">
        <v>22</v>
      </c>
      <c r="E42" s="2" t="s">
        <v>36</v>
      </c>
      <c r="F42" s="2" t="n">
        <v>1</v>
      </c>
      <c r="G42" s="3" t="n">
        <v>210</v>
      </c>
      <c r="H42" s="3" t="n">
        <f aca="false">F42*G42</f>
        <v>210</v>
      </c>
    </row>
    <row r="43" customFormat="false" ht="15" hidden="false" customHeight="false" outlineLevel="0" collapsed="false">
      <c r="A43" s="2" t="n">
        <v>1168</v>
      </c>
      <c r="B43" s="2" t="s">
        <v>58</v>
      </c>
      <c r="C43" s="2" t="s">
        <v>13</v>
      </c>
      <c r="D43" s="2" t="s">
        <v>14</v>
      </c>
      <c r="E43" s="2" t="s">
        <v>15</v>
      </c>
      <c r="F43" s="2" t="n">
        <v>2</v>
      </c>
      <c r="G43" s="3" t="n">
        <v>80</v>
      </c>
      <c r="H43" s="3" t="n">
        <f aca="false">F43*G43</f>
        <v>160</v>
      </c>
    </row>
    <row r="44" customFormat="false" ht="15" hidden="false" customHeight="false" outlineLevel="0" collapsed="false">
      <c r="A44" s="2" t="n">
        <v>1188</v>
      </c>
      <c r="B44" s="2" t="s">
        <v>58</v>
      </c>
      <c r="C44" s="2" t="s">
        <v>9</v>
      </c>
      <c r="D44" s="2" t="s">
        <v>10</v>
      </c>
      <c r="E44" s="2" t="s">
        <v>19</v>
      </c>
      <c r="F44" s="2" t="n">
        <v>1</v>
      </c>
      <c r="G44" s="3" t="n">
        <v>140</v>
      </c>
      <c r="H44" s="3" t="n">
        <f aca="false">F44*G44</f>
        <v>140</v>
      </c>
    </row>
    <row r="45" customFormat="false" ht="15" hidden="false" customHeight="false" outlineLevel="0" collapsed="false">
      <c r="A45" s="2" t="n">
        <v>1149</v>
      </c>
      <c r="B45" s="2" t="s">
        <v>59</v>
      </c>
      <c r="C45" s="2" t="s">
        <v>30</v>
      </c>
      <c r="D45" s="2" t="s">
        <v>18</v>
      </c>
      <c r="E45" s="2" t="s">
        <v>15</v>
      </c>
      <c r="F45" s="2" t="n">
        <v>1</v>
      </c>
      <c r="G45" s="3" t="n">
        <v>3200</v>
      </c>
      <c r="H45" s="3" t="n">
        <f aca="false">F45*G45</f>
        <v>3200</v>
      </c>
    </row>
    <row r="46" customFormat="false" ht="15" hidden="false" customHeight="false" outlineLevel="0" collapsed="false">
      <c r="A46" s="2" t="n">
        <v>1070</v>
      </c>
      <c r="B46" s="2" t="s">
        <v>60</v>
      </c>
      <c r="C46" s="2" t="s">
        <v>17</v>
      </c>
      <c r="D46" s="2" t="s">
        <v>18</v>
      </c>
      <c r="E46" s="2" t="s">
        <v>25</v>
      </c>
      <c r="F46" s="2" t="n">
        <v>2</v>
      </c>
      <c r="G46" s="3" t="n">
        <v>330</v>
      </c>
      <c r="H46" s="3" t="n">
        <f aca="false">F46*G46</f>
        <v>660</v>
      </c>
    </row>
    <row r="47" customFormat="false" ht="15" hidden="false" customHeight="false" outlineLevel="0" collapsed="false">
      <c r="A47" s="2" t="n">
        <v>1014</v>
      </c>
      <c r="B47" s="2" t="s">
        <v>61</v>
      </c>
      <c r="C47" s="2" t="s">
        <v>13</v>
      </c>
      <c r="D47" s="2" t="s">
        <v>14</v>
      </c>
      <c r="E47" s="2" t="s">
        <v>25</v>
      </c>
      <c r="F47" s="2" t="n">
        <v>1</v>
      </c>
      <c r="G47" s="3" t="n">
        <v>40</v>
      </c>
      <c r="H47" s="3" t="n">
        <f aca="false">F47*G47</f>
        <v>40</v>
      </c>
    </row>
    <row r="48" customFormat="false" ht="15" hidden="false" customHeight="false" outlineLevel="0" collapsed="false">
      <c r="A48" s="2" t="n">
        <v>1058</v>
      </c>
      <c r="B48" s="2" t="s">
        <v>61</v>
      </c>
      <c r="C48" s="2" t="s">
        <v>32</v>
      </c>
      <c r="D48" s="2" t="s">
        <v>18</v>
      </c>
      <c r="E48" s="2" t="s">
        <v>25</v>
      </c>
      <c r="F48" s="2" t="n">
        <v>2</v>
      </c>
      <c r="G48" s="3" t="n">
        <v>900</v>
      </c>
      <c r="H48" s="3" t="n">
        <f aca="false">F48*G48</f>
        <v>1800</v>
      </c>
    </row>
    <row r="49" customFormat="false" ht="15" hidden="false" customHeight="false" outlineLevel="0" collapsed="false">
      <c r="A49" s="2" t="n">
        <v>1114</v>
      </c>
      <c r="B49" s="2" t="s">
        <v>61</v>
      </c>
      <c r="C49" s="2" t="s">
        <v>49</v>
      </c>
      <c r="D49" s="2" t="s">
        <v>10</v>
      </c>
      <c r="E49" s="2" t="s">
        <v>25</v>
      </c>
      <c r="F49" s="2" t="n">
        <v>3</v>
      </c>
      <c r="G49" s="3" t="n">
        <v>450</v>
      </c>
      <c r="H49" s="3" t="n">
        <f aca="false">F49*G49</f>
        <v>1350</v>
      </c>
    </row>
    <row r="50" customFormat="false" ht="15" hidden="false" customHeight="false" outlineLevel="0" collapsed="false">
      <c r="A50" s="2" t="n">
        <v>1185</v>
      </c>
      <c r="B50" s="2" t="s">
        <v>61</v>
      </c>
      <c r="C50" s="2" t="s">
        <v>32</v>
      </c>
      <c r="D50" s="2" t="s">
        <v>18</v>
      </c>
      <c r="E50" s="2" t="s">
        <v>15</v>
      </c>
      <c r="F50" s="2" t="n">
        <v>3</v>
      </c>
      <c r="G50" s="3" t="n">
        <v>900</v>
      </c>
      <c r="H50" s="3" t="n">
        <f aca="false">F50*G50</f>
        <v>2700</v>
      </c>
    </row>
    <row r="51" customFormat="false" ht="15" hidden="false" customHeight="false" outlineLevel="0" collapsed="false">
      <c r="A51" s="2" t="n">
        <v>1006</v>
      </c>
      <c r="B51" s="2" t="s">
        <v>62</v>
      </c>
      <c r="C51" s="2" t="s">
        <v>13</v>
      </c>
      <c r="D51" s="2" t="s">
        <v>14</v>
      </c>
      <c r="E51" s="2" t="s">
        <v>19</v>
      </c>
      <c r="F51" s="2" t="n">
        <v>3</v>
      </c>
      <c r="G51" s="3" t="n">
        <v>80</v>
      </c>
      <c r="H51" s="3" t="n">
        <f aca="false">F51*G51</f>
        <v>240</v>
      </c>
    </row>
    <row r="52" customFormat="false" ht="15" hidden="false" customHeight="false" outlineLevel="0" collapsed="false">
      <c r="A52" s="2" t="n">
        <v>1085</v>
      </c>
      <c r="B52" s="2" t="s">
        <v>63</v>
      </c>
      <c r="C52" s="2" t="s">
        <v>41</v>
      </c>
      <c r="D52" s="2" t="s">
        <v>38</v>
      </c>
      <c r="E52" s="2" t="s">
        <v>19</v>
      </c>
      <c r="F52" s="2" t="n">
        <v>3</v>
      </c>
      <c r="G52" s="3" t="n">
        <v>95</v>
      </c>
      <c r="H52" s="3" t="n">
        <f aca="false">F52*G52</f>
        <v>285</v>
      </c>
    </row>
    <row r="53" customFormat="false" ht="15" hidden="false" customHeight="false" outlineLevel="0" collapsed="false">
      <c r="A53" s="2" t="n">
        <v>1024</v>
      </c>
      <c r="B53" s="2" t="s">
        <v>64</v>
      </c>
      <c r="C53" s="2" t="s">
        <v>41</v>
      </c>
      <c r="D53" s="2" t="s">
        <v>38</v>
      </c>
      <c r="E53" s="2" t="s">
        <v>11</v>
      </c>
      <c r="F53" s="2" t="n">
        <v>2</v>
      </c>
      <c r="G53" s="3" t="n">
        <v>95</v>
      </c>
      <c r="H53" s="3" t="n">
        <f aca="false">F53*G53</f>
        <v>190</v>
      </c>
    </row>
    <row r="54" customFormat="false" ht="15" hidden="false" customHeight="false" outlineLevel="0" collapsed="false">
      <c r="A54" s="2" t="n">
        <v>1078</v>
      </c>
      <c r="B54" s="2" t="s">
        <v>64</v>
      </c>
      <c r="C54" s="2" t="s">
        <v>57</v>
      </c>
      <c r="D54" s="2" t="s">
        <v>22</v>
      </c>
      <c r="E54" s="2" t="s">
        <v>15</v>
      </c>
      <c r="F54" s="2" t="n">
        <v>1</v>
      </c>
      <c r="G54" s="3" t="n">
        <v>210</v>
      </c>
      <c r="H54" s="3" t="n">
        <f aca="false">F54*G54</f>
        <v>210</v>
      </c>
    </row>
    <row r="55" customFormat="false" ht="15" hidden="false" customHeight="false" outlineLevel="0" collapsed="false">
      <c r="A55" s="2" t="n">
        <v>1150</v>
      </c>
      <c r="B55" s="2" t="s">
        <v>64</v>
      </c>
      <c r="C55" s="2" t="s">
        <v>21</v>
      </c>
      <c r="D55" s="2" t="s">
        <v>22</v>
      </c>
      <c r="E55" s="2" t="s">
        <v>11</v>
      </c>
      <c r="F55" s="2" t="n">
        <v>1</v>
      </c>
      <c r="G55" s="3" t="n">
        <v>190</v>
      </c>
      <c r="H55" s="3" t="n">
        <f aca="false">F55*G55</f>
        <v>190</v>
      </c>
    </row>
    <row r="56" customFormat="false" ht="15" hidden="false" customHeight="false" outlineLevel="0" collapsed="false">
      <c r="A56" s="2" t="n">
        <v>1174</v>
      </c>
      <c r="B56" s="2" t="s">
        <v>64</v>
      </c>
      <c r="C56" s="2" t="s">
        <v>24</v>
      </c>
      <c r="D56" s="2" t="s">
        <v>10</v>
      </c>
      <c r="E56" s="2" t="s">
        <v>15</v>
      </c>
      <c r="F56" s="2" t="n">
        <v>1</v>
      </c>
      <c r="G56" s="3" t="n">
        <v>280</v>
      </c>
      <c r="H56" s="3" t="n">
        <f aca="false">F56*G56</f>
        <v>280</v>
      </c>
    </row>
    <row r="57" customFormat="false" ht="15" hidden="false" customHeight="false" outlineLevel="0" collapsed="false">
      <c r="A57" s="2" t="n">
        <v>1021</v>
      </c>
      <c r="B57" s="2" t="s">
        <v>65</v>
      </c>
      <c r="C57" s="2" t="s">
        <v>41</v>
      </c>
      <c r="D57" s="2" t="s">
        <v>38</v>
      </c>
      <c r="E57" s="2" t="s">
        <v>25</v>
      </c>
      <c r="F57" s="2" t="n">
        <v>1</v>
      </c>
      <c r="G57" s="3" t="n">
        <v>75</v>
      </c>
      <c r="H57" s="3" t="n">
        <f aca="false">F57*G57</f>
        <v>75</v>
      </c>
    </row>
    <row r="58" customFormat="false" ht="15" hidden="false" customHeight="false" outlineLevel="0" collapsed="false">
      <c r="A58" s="2" t="n">
        <v>1047</v>
      </c>
      <c r="B58" s="2" t="s">
        <v>66</v>
      </c>
      <c r="C58" s="2" t="s">
        <v>17</v>
      </c>
      <c r="D58" s="2" t="s">
        <v>18</v>
      </c>
      <c r="E58" s="2" t="s">
        <v>19</v>
      </c>
      <c r="F58" s="2" t="n">
        <v>1</v>
      </c>
      <c r="G58" s="3" t="n">
        <v>330</v>
      </c>
      <c r="H58" s="3" t="n">
        <f aca="false">F58*G58</f>
        <v>330</v>
      </c>
    </row>
    <row r="59" customFormat="false" ht="15" hidden="false" customHeight="false" outlineLevel="0" collapsed="false">
      <c r="A59" s="2" t="n">
        <v>1122</v>
      </c>
      <c r="B59" s="2" t="s">
        <v>66</v>
      </c>
      <c r="C59" s="2" t="s">
        <v>32</v>
      </c>
      <c r="D59" s="2" t="s">
        <v>18</v>
      </c>
      <c r="E59" s="2" t="s">
        <v>36</v>
      </c>
      <c r="F59" s="2" t="n">
        <v>1</v>
      </c>
      <c r="G59" s="3" t="n">
        <v>880</v>
      </c>
      <c r="H59" s="3" t="n">
        <f aca="false">F59*G59</f>
        <v>880</v>
      </c>
    </row>
    <row r="60" customFormat="false" ht="15" hidden="false" customHeight="false" outlineLevel="0" collapsed="false">
      <c r="A60" s="2" t="n">
        <v>1153</v>
      </c>
      <c r="B60" s="2" t="s">
        <v>66</v>
      </c>
      <c r="C60" s="2" t="s">
        <v>41</v>
      </c>
      <c r="D60" s="2" t="s">
        <v>38</v>
      </c>
      <c r="E60" s="2" t="s">
        <v>36</v>
      </c>
      <c r="F60" s="2" t="n">
        <v>1</v>
      </c>
      <c r="G60" s="3" t="n">
        <v>115</v>
      </c>
      <c r="H60" s="3" t="n">
        <f aca="false">F60*G60</f>
        <v>115</v>
      </c>
    </row>
    <row r="61" customFormat="false" ht="15" hidden="false" customHeight="false" outlineLevel="0" collapsed="false">
      <c r="A61" s="2" t="n">
        <v>1005</v>
      </c>
      <c r="B61" s="2" t="s">
        <v>67</v>
      </c>
      <c r="C61" s="2" t="s">
        <v>57</v>
      </c>
      <c r="D61" s="2" t="s">
        <v>22</v>
      </c>
      <c r="E61" s="2" t="s">
        <v>19</v>
      </c>
      <c r="F61" s="2" t="n">
        <v>2</v>
      </c>
      <c r="G61" s="3" t="n">
        <v>200</v>
      </c>
      <c r="H61" s="3" t="n">
        <f aca="false">F61*G61</f>
        <v>400</v>
      </c>
    </row>
    <row r="62" customFormat="false" ht="15" hidden="false" customHeight="false" outlineLevel="0" collapsed="false">
      <c r="A62" s="2" t="n">
        <v>1051</v>
      </c>
      <c r="B62" s="2" t="s">
        <v>68</v>
      </c>
      <c r="C62" s="2" t="s">
        <v>9</v>
      </c>
      <c r="D62" s="2" t="s">
        <v>10</v>
      </c>
      <c r="E62" s="2" t="s">
        <v>25</v>
      </c>
      <c r="F62" s="2" t="n">
        <v>3</v>
      </c>
      <c r="G62" s="3" t="n">
        <v>120</v>
      </c>
      <c r="H62" s="3" t="n">
        <f aca="false">F62*G62</f>
        <v>360</v>
      </c>
    </row>
    <row r="63" customFormat="false" ht="15" hidden="false" customHeight="false" outlineLevel="0" collapsed="false">
      <c r="A63" s="2" t="n">
        <v>1135</v>
      </c>
      <c r="B63" s="2" t="s">
        <v>68</v>
      </c>
      <c r="C63" s="2" t="s">
        <v>9</v>
      </c>
      <c r="D63" s="2" t="s">
        <v>10</v>
      </c>
      <c r="E63" s="2" t="s">
        <v>19</v>
      </c>
      <c r="F63" s="2" t="n">
        <v>1</v>
      </c>
      <c r="G63" s="3" t="n">
        <v>120</v>
      </c>
      <c r="H63" s="3" t="n">
        <f aca="false">F63*G63</f>
        <v>120</v>
      </c>
    </row>
    <row r="64" customFormat="false" ht="15" hidden="false" customHeight="false" outlineLevel="0" collapsed="false">
      <c r="A64" s="2" t="n">
        <v>1040</v>
      </c>
      <c r="B64" s="2" t="s">
        <v>69</v>
      </c>
      <c r="C64" s="2" t="s">
        <v>30</v>
      </c>
      <c r="D64" s="2" t="s">
        <v>18</v>
      </c>
      <c r="E64" s="2" t="s">
        <v>36</v>
      </c>
      <c r="F64" s="2" t="n">
        <v>1</v>
      </c>
      <c r="G64" s="3" t="n">
        <v>3210</v>
      </c>
      <c r="H64" s="3" t="n">
        <f aca="false">F64*G64</f>
        <v>3210</v>
      </c>
    </row>
    <row r="65" customFormat="false" ht="15" hidden="false" customHeight="false" outlineLevel="0" collapsed="false">
      <c r="A65" s="2" t="n">
        <v>1075</v>
      </c>
      <c r="B65" s="2" t="s">
        <v>69</v>
      </c>
      <c r="C65" s="2" t="s">
        <v>9</v>
      </c>
      <c r="D65" s="2" t="s">
        <v>10</v>
      </c>
      <c r="E65" s="2" t="s">
        <v>15</v>
      </c>
      <c r="F65" s="2" t="n">
        <v>2</v>
      </c>
      <c r="G65" s="3" t="n">
        <v>110</v>
      </c>
      <c r="H65" s="3" t="n">
        <f aca="false">F65*G65</f>
        <v>220</v>
      </c>
    </row>
    <row r="66" customFormat="false" ht="15" hidden="false" customHeight="false" outlineLevel="0" collapsed="false">
      <c r="A66" s="2" t="n">
        <v>1002</v>
      </c>
      <c r="B66" s="2" t="s">
        <v>70</v>
      </c>
      <c r="C66" s="2" t="s">
        <v>32</v>
      </c>
      <c r="D66" s="2" t="s">
        <v>18</v>
      </c>
      <c r="E66" s="2" t="s">
        <v>36</v>
      </c>
      <c r="F66" s="2" t="n">
        <v>1</v>
      </c>
      <c r="G66" s="3" t="n">
        <v>920</v>
      </c>
      <c r="H66" s="3" t="n">
        <f aca="false">F66*G66</f>
        <v>920</v>
      </c>
    </row>
    <row r="67" customFormat="false" ht="15" hidden="false" customHeight="false" outlineLevel="0" collapsed="false">
      <c r="A67" s="2" t="n">
        <v>1123</v>
      </c>
      <c r="B67" s="2" t="s">
        <v>70</v>
      </c>
      <c r="C67" s="2" t="s">
        <v>21</v>
      </c>
      <c r="D67" s="2" t="s">
        <v>22</v>
      </c>
      <c r="E67" s="2" t="s">
        <v>11</v>
      </c>
      <c r="F67" s="2" t="n">
        <v>2</v>
      </c>
      <c r="G67" s="3" t="n">
        <v>170</v>
      </c>
      <c r="H67" s="3" t="n">
        <f aca="false">F67*G67</f>
        <v>340</v>
      </c>
    </row>
    <row r="68" customFormat="false" ht="15" hidden="false" customHeight="false" outlineLevel="0" collapsed="false">
      <c r="A68" s="2" t="n">
        <v>1196</v>
      </c>
      <c r="B68" s="2" t="s">
        <v>71</v>
      </c>
      <c r="C68" s="2" t="s">
        <v>17</v>
      </c>
      <c r="D68" s="2" t="s">
        <v>18</v>
      </c>
      <c r="E68" s="2" t="s">
        <v>19</v>
      </c>
      <c r="F68" s="2" t="n">
        <v>2</v>
      </c>
      <c r="G68" s="3" t="n">
        <v>350</v>
      </c>
      <c r="H68" s="3" t="n">
        <f aca="false">F68*G68</f>
        <v>700</v>
      </c>
    </row>
    <row r="69" customFormat="false" ht="15" hidden="false" customHeight="false" outlineLevel="0" collapsed="false">
      <c r="A69" s="2" t="n">
        <v>1193</v>
      </c>
      <c r="B69" s="2" t="s">
        <v>72</v>
      </c>
      <c r="C69" s="2" t="s">
        <v>21</v>
      </c>
      <c r="D69" s="2" t="s">
        <v>22</v>
      </c>
      <c r="E69" s="2" t="s">
        <v>11</v>
      </c>
      <c r="F69" s="2" t="n">
        <v>1</v>
      </c>
      <c r="G69" s="3" t="n">
        <v>170</v>
      </c>
      <c r="H69" s="3" t="n">
        <f aca="false">F69*G69</f>
        <v>170</v>
      </c>
    </row>
    <row r="70" customFormat="false" ht="15" hidden="false" customHeight="false" outlineLevel="0" collapsed="false">
      <c r="A70" s="2" t="n">
        <v>1074</v>
      </c>
      <c r="B70" s="2" t="s">
        <v>73</v>
      </c>
      <c r="C70" s="2" t="s">
        <v>32</v>
      </c>
      <c r="D70" s="2" t="s">
        <v>18</v>
      </c>
      <c r="E70" s="2" t="s">
        <v>15</v>
      </c>
      <c r="F70" s="2" t="n">
        <v>3</v>
      </c>
      <c r="G70" s="3" t="n">
        <v>920</v>
      </c>
      <c r="H70" s="3" t="n">
        <f aca="false">F70*G70</f>
        <v>2760</v>
      </c>
    </row>
    <row r="71" customFormat="false" ht="15" hidden="false" customHeight="false" outlineLevel="0" collapsed="false">
      <c r="A71" s="2" t="n">
        <v>1201</v>
      </c>
      <c r="B71" s="2" t="s">
        <v>74</v>
      </c>
      <c r="C71" s="2" t="s">
        <v>41</v>
      </c>
      <c r="D71" s="2" t="s">
        <v>38</v>
      </c>
      <c r="E71" s="2" t="s">
        <v>25</v>
      </c>
      <c r="F71" s="2" t="n">
        <v>1</v>
      </c>
      <c r="G71" s="3" t="n">
        <v>85</v>
      </c>
      <c r="H71" s="3" t="n">
        <f aca="false">F71*G71</f>
        <v>85</v>
      </c>
    </row>
    <row r="72" customFormat="false" ht="15" hidden="false" customHeight="false" outlineLevel="0" collapsed="false">
      <c r="A72" s="2" t="n">
        <v>1206</v>
      </c>
      <c r="B72" s="2" t="s">
        <v>74</v>
      </c>
      <c r="C72" s="2" t="s">
        <v>41</v>
      </c>
      <c r="D72" s="2" t="s">
        <v>38</v>
      </c>
      <c r="E72" s="2" t="s">
        <v>25</v>
      </c>
      <c r="F72" s="2" t="n">
        <v>2</v>
      </c>
      <c r="G72" s="3" t="n">
        <v>115</v>
      </c>
      <c r="H72" s="3" t="n">
        <f aca="false">F72*G72</f>
        <v>230</v>
      </c>
    </row>
    <row r="73" customFormat="false" ht="15" hidden="false" customHeight="false" outlineLevel="0" collapsed="false">
      <c r="A73" s="2" t="n">
        <v>1098</v>
      </c>
      <c r="B73" s="2" t="s">
        <v>75</v>
      </c>
      <c r="C73" s="2" t="s">
        <v>27</v>
      </c>
      <c r="D73" s="2" t="s">
        <v>18</v>
      </c>
      <c r="E73" s="2" t="s">
        <v>11</v>
      </c>
      <c r="F73" s="2" t="n">
        <v>3</v>
      </c>
      <c r="G73" s="3" t="n">
        <v>5780</v>
      </c>
      <c r="H73" s="3" t="n">
        <f aca="false">F73*G73</f>
        <v>17340</v>
      </c>
    </row>
    <row r="74" customFormat="false" ht="15" hidden="false" customHeight="false" outlineLevel="0" collapsed="false">
      <c r="A74" s="2" t="n">
        <v>1208</v>
      </c>
      <c r="B74" s="2" t="s">
        <v>75</v>
      </c>
      <c r="C74" s="2" t="s">
        <v>27</v>
      </c>
      <c r="D74" s="2" t="s">
        <v>18</v>
      </c>
      <c r="E74" s="2" t="s">
        <v>25</v>
      </c>
      <c r="F74" s="2" t="n">
        <v>1</v>
      </c>
      <c r="G74" s="3" t="n">
        <v>5780</v>
      </c>
      <c r="H74" s="3" t="n">
        <f aca="false">F74*G74</f>
        <v>5780</v>
      </c>
    </row>
    <row r="75" customFormat="false" ht="15" hidden="false" customHeight="false" outlineLevel="0" collapsed="false">
      <c r="A75" s="2" t="n">
        <v>1084</v>
      </c>
      <c r="B75" s="2" t="s">
        <v>76</v>
      </c>
      <c r="C75" s="2" t="s">
        <v>9</v>
      </c>
      <c r="D75" s="2" t="s">
        <v>10</v>
      </c>
      <c r="E75" s="2" t="s">
        <v>15</v>
      </c>
      <c r="F75" s="2" t="n">
        <v>2</v>
      </c>
      <c r="G75" s="3" t="n">
        <v>110</v>
      </c>
      <c r="H75" s="3" t="n">
        <f aca="false">F75*G75</f>
        <v>220</v>
      </c>
    </row>
    <row r="76" customFormat="false" ht="15" hidden="false" customHeight="false" outlineLevel="0" collapsed="false">
      <c r="A76" s="2" t="n">
        <v>1144</v>
      </c>
      <c r="B76" s="2" t="s">
        <v>76</v>
      </c>
      <c r="C76" s="2" t="s">
        <v>49</v>
      </c>
      <c r="D76" s="2" t="s">
        <v>10</v>
      </c>
      <c r="E76" s="2" t="s">
        <v>11</v>
      </c>
      <c r="F76" s="2" t="n">
        <v>2</v>
      </c>
      <c r="G76" s="3" t="n">
        <v>430</v>
      </c>
      <c r="H76" s="3" t="n">
        <f aca="false">F76*G76</f>
        <v>860</v>
      </c>
    </row>
    <row r="77" customFormat="false" ht="15" hidden="false" customHeight="false" outlineLevel="0" collapsed="false">
      <c r="A77" s="2" t="n">
        <v>1087</v>
      </c>
      <c r="B77" s="2" t="s">
        <v>77</v>
      </c>
      <c r="C77" s="2" t="s">
        <v>30</v>
      </c>
      <c r="D77" s="2" t="s">
        <v>18</v>
      </c>
      <c r="E77" s="2" t="s">
        <v>25</v>
      </c>
      <c r="F77" s="2" t="n">
        <v>1</v>
      </c>
      <c r="G77" s="3" t="n">
        <v>3200</v>
      </c>
      <c r="H77" s="3" t="n">
        <f aca="false">F77*G77</f>
        <v>3200</v>
      </c>
    </row>
    <row r="78" customFormat="false" ht="15" hidden="false" customHeight="false" outlineLevel="0" collapsed="false">
      <c r="A78" s="2" t="n">
        <v>1134</v>
      </c>
      <c r="B78" s="2" t="s">
        <v>77</v>
      </c>
      <c r="C78" s="2" t="s">
        <v>21</v>
      </c>
      <c r="D78" s="2" t="s">
        <v>22</v>
      </c>
      <c r="E78" s="2" t="s">
        <v>15</v>
      </c>
      <c r="F78" s="2" t="n">
        <v>1</v>
      </c>
      <c r="G78" s="3" t="n">
        <v>210</v>
      </c>
      <c r="H78" s="3" t="n">
        <f aca="false">F78*G78</f>
        <v>210</v>
      </c>
    </row>
    <row r="79" customFormat="false" ht="15" hidden="false" customHeight="false" outlineLevel="0" collapsed="false">
      <c r="A79" s="2" t="n">
        <v>1151</v>
      </c>
      <c r="B79" s="2" t="s">
        <v>78</v>
      </c>
      <c r="C79" s="2" t="s">
        <v>49</v>
      </c>
      <c r="D79" s="2" t="s">
        <v>10</v>
      </c>
      <c r="E79" s="2" t="s">
        <v>11</v>
      </c>
      <c r="F79" s="2" t="n">
        <v>1</v>
      </c>
      <c r="G79" s="3" t="n">
        <v>430</v>
      </c>
      <c r="H79" s="3" t="n">
        <f aca="false">F79*G79</f>
        <v>430</v>
      </c>
    </row>
    <row r="80" customFormat="false" ht="15" hidden="false" customHeight="false" outlineLevel="0" collapsed="false">
      <c r="A80" s="2" t="n">
        <v>1217</v>
      </c>
      <c r="B80" s="2" t="s">
        <v>78</v>
      </c>
      <c r="C80" s="2" t="s">
        <v>27</v>
      </c>
      <c r="D80" s="2" t="s">
        <v>18</v>
      </c>
      <c r="E80" s="2" t="s">
        <v>11</v>
      </c>
      <c r="F80" s="2" t="n">
        <v>2</v>
      </c>
      <c r="G80" s="3" t="n">
        <v>5800</v>
      </c>
      <c r="H80" s="3" t="n">
        <f aca="false">F80*G80</f>
        <v>11600</v>
      </c>
    </row>
    <row r="81" customFormat="false" ht="15" hidden="false" customHeight="false" outlineLevel="0" collapsed="false">
      <c r="A81" s="2" t="n">
        <v>1120</v>
      </c>
      <c r="B81" s="2" t="s">
        <v>79</v>
      </c>
      <c r="C81" s="2" t="s">
        <v>57</v>
      </c>
      <c r="D81" s="2" t="s">
        <v>22</v>
      </c>
      <c r="E81" s="2" t="s">
        <v>19</v>
      </c>
      <c r="F81" s="2" t="n">
        <v>3</v>
      </c>
      <c r="G81" s="3" t="n">
        <v>240</v>
      </c>
      <c r="H81" s="3" t="n">
        <f aca="false">F81*G81</f>
        <v>720</v>
      </c>
    </row>
    <row r="82" customFormat="false" ht="15" hidden="false" customHeight="false" outlineLevel="0" collapsed="false">
      <c r="A82" s="2" t="n">
        <v>1210</v>
      </c>
      <c r="B82" s="2" t="s">
        <v>80</v>
      </c>
      <c r="C82" s="2" t="s">
        <v>21</v>
      </c>
      <c r="D82" s="2" t="s">
        <v>22</v>
      </c>
      <c r="E82" s="2" t="s">
        <v>15</v>
      </c>
      <c r="F82" s="2" t="n">
        <v>1</v>
      </c>
      <c r="G82" s="3" t="n">
        <v>190</v>
      </c>
      <c r="H82" s="3" t="n">
        <f aca="false">F82*G82</f>
        <v>190</v>
      </c>
    </row>
    <row r="83" customFormat="false" ht="15" hidden="false" customHeight="false" outlineLevel="0" collapsed="false">
      <c r="A83" s="2" t="n">
        <v>1190</v>
      </c>
      <c r="B83" s="2" t="s">
        <v>81</v>
      </c>
      <c r="C83" s="2" t="s">
        <v>13</v>
      </c>
      <c r="D83" s="2" t="s">
        <v>14</v>
      </c>
      <c r="E83" s="2" t="s">
        <v>11</v>
      </c>
      <c r="F83" s="2" t="n">
        <v>1</v>
      </c>
      <c r="G83" s="3" t="n">
        <v>80</v>
      </c>
      <c r="H83" s="3" t="n">
        <f aca="false">F83*G83</f>
        <v>80</v>
      </c>
    </row>
    <row r="84" customFormat="false" ht="15" hidden="false" customHeight="false" outlineLevel="0" collapsed="false">
      <c r="A84" s="2" t="n">
        <v>1204</v>
      </c>
      <c r="B84" s="2" t="s">
        <v>81</v>
      </c>
      <c r="C84" s="2" t="s">
        <v>30</v>
      </c>
      <c r="D84" s="2" t="s">
        <v>18</v>
      </c>
      <c r="E84" s="2" t="s">
        <v>15</v>
      </c>
      <c r="F84" s="2" t="n">
        <v>1</v>
      </c>
      <c r="G84" s="3" t="n">
        <v>3200</v>
      </c>
      <c r="H84" s="3" t="n">
        <f aca="false">F84*G84</f>
        <v>3200</v>
      </c>
    </row>
    <row r="85" customFormat="false" ht="15" hidden="false" customHeight="false" outlineLevel="0" collapsed="false">
      <c r="A85" s="2" t="n">
        <v>1013</v>
      </c>
      <c r="B85" s="2" t="s">
        <v>82</v>
      </c>
      <c r="C85" s="2" t="s">
        <v>41</v>
      </c>
      <c r="D85" s="2" t="s">
        <v>38</v>
      </c>
      <c r="E85" s="2" t="s">
        <v>19</v>
      </c>
      <c r="F85" s="2" t="n">
        <v>2</v>
      </c>
      <c r="G85" s="3" t="n">
        <v>95</v>
      </c>
      <c r="H85" s="3" t="n">
        <f aca="false">F85*G85</f>
        <v>190</v>
      </c>
    </row>
    <row r="86" customFormat="false" ht="15" hidden="false" customHeight="false" outlineLevel="0" collapsed="false">
      <c r="A86" s="2" t="n">
        <v>1034</v>
      </c>
      <c r="B86" s="2" t="s">
        <v>82</v>
      </c>
      <c r="C86" s="2" t="s">
        <v>49</v>
      </c>
      <c r="D86" s="2" t="s">
        <v>10</v>
      </c>
      <c r="E86" s="2" t="s">
        <v>36</v>
      </c>
      <c r="F86" s="2" t="n">
        <v>1</v>
      </c>
      <c r="G86" s="3" t="n">
        <v>450</v>
      </c>
      <c r="H86" s="3" t="n">
        <f aca="false">F86*G86</f>
        <v>450</v>
      </c>
    </row>
    <row r="87" customFormat="false" ht="15" hidden="false" customHeight="false" outlineLevel="0" collapsed="false">
      <c r="A87" s="2" t="n">
        <v>1082</v>
      </c>
      <c r="B87" s="2" t="s">
        <v>83</v>
      </c>
      <c r="C87" s="2" t="s">
        <v>41</v>
      </c>
      <c r="D87" s="2" t="s">
        <v>38</v>
      </c>
      <c r="E87" s="2" t="s">
        <v>15</v>
      </c>
      <c r="F87" s="2" t="n">
        <v>1</v>
      </c>
      <c r="G87" s="3" t="n">
        <v>85</v>
      </c>
      <c r="H87" s="3" t="n">
        <f aca="false">F87*G87</f>
        <v>85</v>
      </c>
    </row>
    <row r="88" customFormat="false" ht="15" hidden="false" customHeight="false" outlineLevel="0" collapsed="false">
      <c r="A88" s="2" t="n">
        <v>1180</v>
      </c>
      <c r="B88" s="2" t="s">
        <v>84</v>
      </c>
      <c r="C88" s="2" t="s">
        <v>41</v>
      </c>
      <c r="D88" s="2" t="s">
        <v>38</v>
      </c>
      <c r="E88" s="2" t="s">
        <v>11</v>
      </c>
      <c r="F88" s="2" t="n">
        <v>2</v>
      </c>
      <c r="G88" s="3" t="n">
        <v>95</v>
      </c>
      <c r="H88" s="3" t="n">
        <f aca="false">F88*G88</f>
        <v>190</v>
      </c>
    </row>
    <row r="89" customFormat="false" ht="15" hidden="false" customHeight="false" outlineLevel="0" collapsed="false">
      <c r="A89" s="2" t="n">
        <v>1183</v>
      </c>
      <c r="B89" s="2" t="s">
        <v>84</v>
      </c>
      <c r="C89" s="2" t="s">
        <v>9</v>
      </c>
      <c r="D89" s="2" t="s">
        <v>10</v>
      </c>
      <c r="E89" s="2" t="s">
        <v>25</v>
      </c>
      <c r="F89" s="2" t="n">
        <v>1</v>
      </c>
      <c r="G89" s="3" t="n">
        <v>100</v>
      </c>
      <c r="H89" s="3" t="n">
        <f aca="false">F89*G89</f>
        <v>100</v>
      </c>
    </row>
    <row r="90" customFormat="false" ht="15" hidden="false" customHeight="false" outlineLevel="0" collapsed="false">
      <c r="A90" s="2" t="n">
        <v>1199</v>
      </c>
      <c r="B90" s="2" t="s">
        <v>84</v>
      </c>
      <c r="C90" s="2" t="s">
        <v>37</v>
      </c>
      <c r="D90" s="2" t="s">
        <v>38</v>
      </c>
      <c r="E90" s="2" t="s">
        <v>19</v>
      </c>
      <c r="F90" s="2" t="n">
        <v>2</v>
      </c>
      <c r="G90" s="3" t="n">
        <v>360</v>
      </c>
      <c r="H90" s="3" t="n">
        <f aca="false">F90*G90</f>
        <v>720</v>
      </c>
    </row>
    <row r="91" customFormat="false" ht="15" hidden="false" customHeight="false" outlineLevel="0" collapsed="false">
      <c r="A91" s="2" t="n">
        <v>1159</v>
      </c>
      <c r="B91" s="2" t="s">
        <v>85</v>
      </c>
      <c r="C91" s="2" t="s">
        <v>17</v>
      </c>
      <c r="D91" s="2" t="s">
        <v>18</v>
      </c>
      <c r="E91" s="2" t="s">
        <v>15</v>
      </c>
      <c r="F91" s="2" t="n">
        <v>2</v>
      </c>
      <c r="G91" s="3" t="n">
        <v>330</v>
      </c>
      <c r="H91" s="3" t="n">
        <f aca="false">F91*G91</f>
        <v>660</v>
      </c>
    </row>
    <row r="92" customFormat="false" ht="15" hidden="false" customHeight="false" outlineLevel="0" collapsed="false">
      <c r="A92" s="2" t="n">
        <v>1184</v>
      </c>
      <c r="B92" s="2" t="s">
        <v>86</v>
      </c>
      <c r="C92" s="2" t="s">
        <v>17</v>
      </c>
      <c r="D92" s="2" t="s">
        <v>18</v>
      </c>
      <c r="E92" s="2" t="s">
        <v>25</v>
      </c>
      <c r="F92" s="2" t="n">
        <v>3</v>
      </c>
      <c r="G92" s="3" t="n">
        <v>360</v>
      </c>
      <c r="H92" s="3" t="n">
        <f aca="false">F92*G92</f>
        <v>1080</v>
      </c>
    </row>
    <row r="93" customFormat="false" ht="15" hidden="false" customHeight="false" outlineLevel="0" collapsed="false">
      <c r="A93" s="2" t="n">
        <v>1219</v>
      </c>
      <c r="B93" s="2" t="s">
        <v>87</v>
      </c>
      <c r="C93" s="2" t="s">
        <v>41</v>
      </c>
      <c r="D93" s="2" t="s">
        <v>38</v>
      </c>
      <c r="E93" s="2" t="s">
        <v>15</v>
      </c>
      <c r="F93" s="2" t="n">
        <v>1</v>
      </c>
      <c r="G93" s="3" t="n">
        <v>85</v>
      </c>
      <c r="H93" s="3" t="n">
        <f aca="false">F93*G93</f>
        <v>85</v>
      </c>
    </row>
    <row r="94" customFormat="false" ht="15" hidden="false" customHeight="false" outlineLevel="0" collapsed="false">
      <c r="A94" s="2" t="n">
        <v>1182</v>
      </c>
      <c r="B94" s="2" t="s">
        <v>88</v>
      </c>
      <c r="C94" s="2" t="s">
        <v>24</v>
      </c>
      <c r="D94" s="2" t="s">
        <v>10</v>
      </c>
      <c r="E94" s="2" t="s">
        <v>15</v>
      </c>
      <c r="F94" s="2" t="n">
        <v>3</v>
      </c>
      <c r="G94" s="3" t="n">
        <v>280</v>
      </c>
      <c r="H94" s="3" t="n">
        <f aca="false">F94*G94</f>
        <v>840</v>
      </c>
    </row>
    <row r="95" customFormat="false" ht="15" hidden="false" customHeight="false" outlineLevel="0" collapsed="false">
      <c r="A95" s="2" t="n">
        <v>1121</v>
      </c>
      <c r="B95" s="2" t="s">
        <v>89</v>
      </c>
      <c r="C95" s="2" t="s">
        <v>17</v>
      </c>
      <c r="D95" s="2" t="s">
        <v>18</v>
      </c>
      <c r="E95" s="2" t="s">
        <v>15</v>
      </c>
      <c r="F95" s="2" t="n">
        <v>1</v>
      </c>
      <c r="G95" s="3" t="n">
        <v>370</v>
      </c>
      <c r="H95" s="3" t="n">
        <f aca="false">F95*G95</f>
        <v>370</v>
      </c>
    </row>
    <row r="96" customFormat="false" ht="15" hidden="false" customHeight="false" outlineLevel="0" collapsed="false">
      <c r="A96" s="2" t="n">
        <v>1145</v>
      </c>
      <c r="B96" s="2" t="s">
        <v>90</v>
      </c>
      <c r="C96" s="2" t="s">
        <v>41</v>
      </c>
      <c r="D96" s="2" t="s">
        <v>38</v>
      </c>
      <c r="E96" s="2" t="s">
        <v>25</v>
      </c>
      <c r="F96" s="2" t="n">
        <v>3</v>
      </c>
      <c r="G96" s="3" t="n">
        <v>95</v>
      </c>
      <c r="H96" s="3" t="n">
        <f aca="false">F96*G96</f>
        <v>285</v>
      </c>
    </row>
    <row r="97" customFormat="false" ht="15" hidden="false" customHeight="false" outlineLevel="0" collapsed="false">
      <c r="A97" s="2" t="n">
        <v>1009</v>
      </c>
      <c r="B97" s="2" t="s">
        <v>91</v>
      </c>
      <c r="C97" s="2" t="s">
        <v>9</v>
      </c>
      <c r="D97" s="2" t="s">
        <v>10</v>
      </c>
      <c r="E97" s="2" t="s">
        <v>15</v>
      </c>
      <c r="F97" s="2" t="n">
        <v>1</v>
      </c>
      <c r="G97" s="3" t="n">
        <v>110</v>
      </c>
      <c r="H97" s="3" t="n">
        <f aca="false">F97*G97</f>
        <v>110</v>
      </c>
    </row>
    <row r="98" customFormat="false" ht="15" hidden="false" customHeight="false" outlineLevel="0" collapsed="false">
      <c r="A98" s="2" t="n">
        <v>1011</v>
      </c>
      <c r="B98" s="2" t="s">
        <v>92</v>
      </c>
      <c r="C98" s="2" t="s">
        <v>37</v>
      </c>
      <c r="D98" s="2" t="s">
        <v>38</v>
      </c>
      <c r="E98" s="2" t="s">
        <v>11</v>
      </c>
      <c r="F98" s="2" t="n">
        <v>1</v>
      </c>
      <c r="G98" s="3" t="n">
        <v>360</v>
      </c>
      <c r="H98" s="3" t="n">
        <f aca="false">F98*G98</f>
        <v>360</v>
      </c>
    </row>
    <row r="99" customFormat="false" ht="15" hidden="false" customHeight="false" outlineLevel="0" collapsed="false">
      <c r="A99" s="2" t="n">
        <v>1100</v>
      </c>
      <c r="B99" s="2" t="s">
        <v>93</v>
      </c>
      <c r="C99" s="2" t="s">
        <v>9</v>
      </c>
      <c r="D99" s="2" t="s">
        <v>10</v>
      </c>
      <c r="E99" s="2" t="s">
        <v>36</v>
      </c>
      <c r="F99" s="2" t="n">
        <v>1</v>
      </c>
      <c r="G99" s="3" t="n">
        <v>110</v>
      </c>
      <c r="H99" s="3" t="n">
        <f aca="false">F99*G99</f>
        <v>110</v>
      </c>
    </row>
    <row r="100" customFormat="false" ht="15" hidden="false" customHeight="false" outlineLevel="0" collapsed="false">
      <c r="A100" s="2" t="n">
        <v>1110</v>
      </c>
      <c r="B100" s="2" t="s">
        <v>94</v>
      </c>
      <c r="C100" s="2" t="s">
        <v>49</v>
      </c>
      <c r="D100" s="2" t="s">
        <v>10</v>
      </c>
      <c r="E100" s="2" t="s">
        <v>15</v>
      </c>
      <c r="F100" s="2" t="n">
        <v>1</v>
      </c>
      <c r="G100" s="3" t="n">
        <v>470</v>
      </c>
      <c r="H100" s="3" t="n">
        <f aca="false">F100*G100</f>
        <v>470</v>
      </c>
    </row>
    <row r="101" customFormat="false" ht="15" hidden="false" customHeight="false" outlineLevel="0" collapsed="false">
      <c r="A101" s="2" t="n">
        <v>1016</v>
      </c>
      <c r="B101" s="2" t="s">
        <v>95</v>
      </c>
      <c r="C101" s="2" t="s">
        <v>9</v>
      </c>
      <c r="D101" s="2" t="s">
        <v>10</v>
      </c>
      <c r="E101" s="2" t="s">
        <v>15</v>
      </c>
      <c r="F101" s="2" t="n">
        <v>2</v>
      </c>
      <c r="G101" s="3" t="n">
        <v>140</v>
      </c>
      <c r="H101" s="3" t="n">
        <f aca="false">F101*G101</f>
        <v>280</v>
      </c>
    </row>
    <row r="102" customFormat="false" ht="15" hidden="false" customHeight="false" outlineLevel="0" collapsed="false">
      <c r="A102" s="2" t="n">
        <v>1141</v>
      </c>
      <c r="B102" s="2" t="s">
        <v>95</v>
      </c>
      <c r="C102" s="2" t="s">
        <v>21</v>
      </c>
      <c r="D102" s="2" t="s">
        <v>22</v>
      </c>
      <c r="E102" s="2" t="s">
        <v>15</v>
      </c>
      <c r="F102" s="2" t="n">
        <v>1</v>
      </c>
      <c r="G102" s="3" t="n">
        <v>190</v>
      </c>
      <c r="H102" s="3" t="n">
        <f aca="false">F102*G102</f>
        <v>190</v>
      </c>
    </row>
    <row r="103" customFormat="false" ht="15" hidden="false" customHeight="false" outlineLevel="0" collapsed="false">
      <c r="A103" s="2" t="n">
        <v>1064</v>
      </c>
      <c r="B103" s="2" t="s">
        <v>96</v>
      </c>
      <c r="C103" s="2" t="s">
        <v>9</v>
      </c>
      <c r="D103" s="2" t="s">
        <v>10</v>
      </c>
      <c r="E103" s="2" t="s">
        <v>11</v>
      </c>
      <c r="F103" s="2" t="n">
        <v>2</v>
      </c>
      <c r="G103" s="3" t="n">
        <v>120</v>
      </c>
      <c r="H103" s="3" t="n">
        <f aca="false">F103*G103</f>
        <v>240</v>
      </c>
    </row>
    <row r="104" customFormat="false" ht="15" hidden="false" customHeight="false" outlineLevel="0" collapsed="false">
      <c r="A104" s="2" t="n">
        <v>1147</v>
      </c>
      <c r="B104" s="2" t="s">
        <v>97</v>
      </c>
      <c r="C104" s="2" t="s">
        <v>37</v>
      </c>
      <c r="D104" s="2" t="s">
        <v>38</v>
      </c>
      <c r="E104" s="2" t="s">
        <v>36</v>
      </c>
      <c r="F104" s="2" t="n">
        <v>2</v>
      </c>
      <c r="G104" s="3" t="n">
        <v>400</v>
      </c>
      <c r="H104" s="3" t="n">
        <f aca="false">F104*G104</f>
        <v>800</v>
      </c>
    </row>
    <row r="105" customFormat="false" ht="15" hidden="false" customHeight="false" outlineLevel="0" collapsed="false">
      <c r="A105" s="2" t="n">
        <v>1063</v>
      </c>
      <c r="B105" s="2" t="s">
        <v>98</v>
      </c>
      <c r="C105" s="2" t="s">
        <v>30</v>
      </c>
      <c r="D105" s="2" t="s">
        <v>18</v>
      </c>
      <c r="E105" s="2" t="s">
        <v>36</v>
      </c>
      <c r="F105" s="2" t="n">
        <v>1</v>
      </c>
      <c r="G105" s="3" t="n">
        <v>3200</v>
      </c>
      <c r="H105" s="3" t="n">
        <f aca="false">F105*G105</f>
        <v>3200</v>
      </c>
    </row>
    <row r="106" customFormat="false" ht="15" hidden="false" customHeight="false" outlineLevel="0" collapsed="false">
      <c r="A106" s="2" t="n">
        <v>1103</v>
      </c>
      <c r="B106" s="2" t="s">
        <v>98</v>
      </c>
      <c r="C106" s="2" t="s">
        <v>41</v>
      </c>
      <c r="D106" s="2" t="s">
        <v>38</v>
      </c>
      <c r="E106" s="2" t="s">
        <v>36</v>
      </c>
      <c r="F106" s="2" t="n">
        <v>2</v>
      </c>
      <c r="G106" s="3" t="n">
        <v>95</v>
      </c>
      <c r="H106" s="3" t="n">
        <f aca="false">F106*G106</f>
        <v>190</v>
      </c>
    </row>
    <row r="107" customFormat="false" ht="15" hidden="false" customHeight="false" outlineLevel="0" collapsed="false">
      <c r="A107" s="2" t="n">
        <v>1057</v>
      </c>
      <c r="B107" s="2" t="s">
        <v>99</v>
      </c>
      <c r="C107" s="2" t="s">
        <v>13</v>
      </c>
      <c r="D107" s="2" t="s">
        <v>14</v>
      </c>
      <c r="E107" s="2" t="s">
        <v>25</v>
      </c>
      <c r="F107" s="2" t="n">
        <v>1</v>
      </c>
      <c r="G107" s="3" t="n">
        <v>40</v>
      </c>
      <c r="H107" s="3" t="n">
        <f aca="false">F107*G107</f>
        <v>40</v>
      </c>
    </row>
    <row r="108" customFormat="false" ht="15" hidden="false" customHeight="false" outlineLevel="0" collapsed="false">
      <c r="A108" s="2" t="n">
        <v>1071</v>
      </c>
      <c r="B108" s="2" t="s">
        <v>99</v>
      </c>
      <c r="C108" s="2" t="s">
        <v>17</v>
      </c>
      <c r="D108" s="2" t="s">
        <v>18</v>
      </c>
      <c r="E108" s="2" t="s">
        <v>19</v>
      </c>
      <c r="F108" s="2" t="n">
        <v>2</v>
      </c>
      <c r="G108" s="3" t="n">
        <v>340</v>
      </c>
      <c r="H108" s="3" t="n">
        <f aca="false">F108*G108</f>
        <v>680</v>
      </c>
    </row>
    <row r="109" customFormat="false" ht="15" hidden="false" customHeight="false" outlineLevel="0" collapsed="false">
      <c r="A109" s="2" t="n">
        <v>1113</v>
      </c>
      <c r="B109" s="2" t="s">
        <v>99</v>
      </c>
      <c r="C109" s="2" t="s">
        <v>13</v>
      </c>
      <c r="D109" s="2" t="s">
        <v>14</v>
      </c>
      <c r="E109" s="2" t="s">
        <v>25</v>
      </c>
      <c r="F109" s="2" t="n">
        <v>1</v>
      </c>
      <c r="G109" s="3" t="n">
        <v>70</v>
      </c>
      <c r="H109" s="3" t="n">
        <f aca="false">F109*G109</f>
        <v>70</v>
      </c>
    </row>
    <row r="110" customFormat="false" ht="15" hidden="false" customHeight="false" outlineLevel="0" collapsed="false">
      <c r="A110" s="2" t="n">
        <v>1203</v>
      </c>
      <c r="B110" s="2" t="s">
        <v>100</v>
      </c>
      <c r="C110" s="2" t="s">
        <v>21</v>
      </c>
      <c r="D110" s="2" t="s">
        <v>22</v>
      </c>
      <c r="E110" s="2" t="s">
        <v>11</v>
      </c>
      <c r="F110" s="2" t="n">
        <v>3</v>
      </c>
      <c r="G110" s="3" t="n">
        <v>200</v>
      </c>
      <c r="H110" s="3" t="n">
        <f aca="false">F110*G110</f>
        <v>600</v>
      </c>
    </row>
    <row r="111" customFormat="false" ht="15" hidden="false" customHeight="false" outlineLevel="0" collapsed="false">
      <c r="A111" s="2" t="n">
        <v>1220</v>
      </c>
      <c r="B111" s="2" t="s">
        <v>101</v>
      </c>
      <c r="C111" s="2" t="s">
        <v>13</v>
      </c>
      <c r="D111" s="2" t="s">
        <v>14</v>
      </c>
      <c r="E111" s="2" t="s">
        <v>11</v>
      </c>
      <c r="F111" s="2" t="n">
        <v>2</v>
      </c>
      <c r="G111" s="3" t="n">
        <v>60</v>
      </c>
      <c r="H111" s="3" t="n">
        <f aca="false">F111*G111</f>
        <v>120</v>
      </c>
    </row>
    <row r="112" customFormat="false" ht="15" hidden="false" customHeight="false" outlineLevel="0" collapsed="false">
      <c r="A112" s="2" t="n">
        <v>1124</v>
      </c>
      <c r="B112" s="2" t="s">
        <v>102</v>
      </c>
      <c r="C112" s="2" t="s">
        <v>41</v>
      </c>
      <c r="D112" s="2" t="s">
        <v>38</v>
      </c>
      <c r="E112" s="2" t="s">
        <v>11</v>
      </c>
      <c r="F112" s="2" t="n">
        <v>2</v>
      </c>
      <c r="G112" s="3" t="n">
        <v>85</v>
      </c>
      <c r="H112" s="3" t="n">
        <f aca="false">F112*G112</f>
        <v>170</v>
      </c>
    </row>
    <row r="113" customFormat="false" ht="15" hidden="false" customHeight="false" outlineLevel="0" collapsed="false">
      <c r="A113" s="2" t="n">
        <v>1138</v>
      </c>
      <c r="B113" s="2" t="s">
        <v>102</v>
      </c>
      <c r="C113" s="2" t="s">
        <v>49</v>
      </c>
      <c r="D113" s="2" t="s">
        <v>10</v>
      </c>
      <c r="E113" s="2" t="s">
        <v>11</v>
      </c>
      <c r="F113" s="2" t="n">
        <v>1</v>
      </c>
      <c r="G113" s="3" t="n">
        <v>460</v>
      </c>
      <c r="H113" s="3" t="n">
        <f aca="false">F113*G113</f>
        <v>460</v>
      </c>
    </row>
    <row r="114" customFormat="false" ht="15" hidden="false" customHeight="false" outlineLevel="0" collapsed="false">
      <c r="A114" s="2" t="n">
        <v>1139</v>
      </c>
      <c r="B114" s="2" t="s">
        <v>102</v>
      </c>
      <c r="C114" s="2" t="s">
        <v>30</v>
      </c>
      <c r="D114" s="2" t="s">
        <v>18</v>
      </c>
      <c r="E114" s="2" t="s">
        <v>11</v>
      </c>
      <c r="F114" s="2" t="n">
        <v>1</v>
      </c>
      <c r="G114" s="3" t="n">
        <v>3200</v>
      </c>
      <c r="H114" s="3" t="n">
        <f aca="false">F114*G114</f>
        <v>3200</v>
      </c>
    </row>
    <row r="115" customFormat="false" ht="15" hidden="false" customHeight="false" outlineLevel="0" collapsed="false">
      <c r="A115" s="2" t="n">
        <v>1007</v>
      </c>
      <c r="B115" s="2" t="s">
        <v>103</v>
      </c>
      <c r="C115" s="2" t="s">
        <v>32</v>
      </c>
      <c r="D115" s="2" t="s">
        <v>18</v>
      </c>
      <c r="E115" s="2" t="s">
        <v>15</v>
      </c>
      <c r="F115" s="2" t="n">
        <v>2</v>
      </c>
      <c r="G115" s="3" t="n">
        <v>910</v>
      </c>
      <c r="H115" s="3" t="n">
        <f aca="false">F115*G115</f>
        <v>1820</v>
      </c>
    </row>
    <row r="116" customFormat="false" ht="15" hidden="false" customHeight="false" outlineLevel="0" collapsed="false">
      <c r="A116" s="2" t="n">
        <v>1004</v>
      </c>
      <c r="B116" s="2" t="s">
        <v>104</v>
      </c>
      <c r="C116" s="2" t="s">
        <v>30</v>
      </c>
      <c r="D116" s="2" t="s">
        <v>18</v>
      </c>
      <c r="E116" s="2" t="s">
        <v>25</v>
      </c>
      <c r="F116" s="2" t="n">
        <v>1</v>
      </c>
      <c r="G116" s="3" t="n">
        <v>3180</v>
      </c>
      <c r="H116" s="3" t="n">
        <f aca="false">F116*G116</f>
        <v>3180</v>
      </c>
    </row>
    <row r="117" customFormat="false" ht="15" hidden="false" customHeight="false" outlineLevel="0" collapsed="false">
      <c r="A117" s="2" t="n">
        <v>1044</v>
      </c>
      <c r="B117" s="2" t="s">
        <v>104</v>
      </c>
      <c r="C117" s="2" t="s">
        <v>32</v>
      </c>
      <c r="D117" s="2" t="s">
        <v>18</v>
      </c>
      <c r="E117" s="2" t="s">
        <v>25</v>
      </c>
      <c r="F117" s="2" t="n">
        <v>2</v>
      </c>
      <c r="G117" s="3" t="n">
        <v>920</v>
      </c>
      <c r="H117" s="3" t="n">
        <f aca="false">F117*G117</f>
        <v>1840</v>
      </c>
    </row>
    <row r="118" customFormat="false" ht="15" hidden="false" customHeight="false" outlineLevel="0" collapsed="false">
      <c r="A118" s="2" t="n">
        <v>1055</v>
      </c>
      <c r="B118" s="2" t="s">
        <v>104</v>
      </c>
      <c r="C118" s="2" t="s">
        <v>49</v>
      </c>
      <c r="D118" s="2" t="s">
        <v>10</v>
      </c>
      <c r="E118" s="2" t="s">
        <v>36</v>
      </c>
      <c r="F118" s="2" t="n">
        <v>2</v>
      </c>
      <c r="G118" s="3" t="n">
        <v>470</v>
      </c>
      <c r="H118" s="3" t="n">
        <f aca="false">F118*G118</f>
        <v>940</v>
      </c>
    </row>
    <row r="119" customFormat="false" ht="15" hidden="false" customHeight="false" outlineLevel="0" collapsed="false">
      <c r="A119" s="2" t="n">
        <v>1059</v>
      </c>
      <c r="B119" s="2" t="s">
        <v>104</v>
      </c>
      <c r="C119" s="2" t="s">
        <v>27</v>
      </c>
      <c r="D119" s="2" t="s">
        <v>18</v>
      </c>
      <c r="E119" s="2" t="s">
        <v>25</v>
      </c>
      <c r="F119" s="2" t="n">
        <v>1</v>
      </c>
      <c r="G119" s="3" t="n">
        <v>5800</v>
      </c>
      <c r="H119" s="3" t="n">
        <f aca="false">F119*G119</f>
        <v>5800</v>
      </c>
    </row>
    <row r="120" customFormat="false" ht="15" hidden="false" customHeight="false" outlineLevel="0" collapsed="false">
      <c r="A120" s="2" t="n">
        <v>1207</v>
      </c>
      <c r="B120" s="2" t="s">
        <v>104</v>
      </c>
      <c r="C120" s="2" t="s">
        <v>17</v>
      </c>
      <c r="D120" s="2" t="s">
        <v>18</v>
      </c>
      <c r="E120" s="2" t="s">
        <v>25</v>
      </c>
      <c r="F120" s="2" t="n">
        <v>2</v>
      </c>
      <c r="G120" s="3" t="n">
        <v>340</v>
      </c>
      <c r="H120" s="3" t="n">
        <f aca="false">F120*G120</f>
        <v>680</v>
      </c>
    </row>
    <row r="121" customFormat="false" ht="15" hidden="false" customHeight="false" outlineLevel="0" collapsed="false">
      <c r="A121" s="2" t="n">
        <v>1131</v>
      </c>
      <c r="B121" s="2" t="s">
        <v>105</v>
      </c>
      <c r="C121" s="2" t="s">
        <v>57</v>
      </c>
      <c r="D121" s="2" t="s">
        <v>22</v>
      </c>
      <c r="E121" s="2" t="s">
        <v>11</v>
      </c>
      <c r="F121" s="2" t="n">
        <v>2</v>
      </c>
      <c r="G121" s="3" t="n">
        <v>210</v>
      </c>
      <c r="H121" s="3" t="n">
        <f aca="false">F121*G121</f>
        <v>420</v>
      </c>
    </row>
    <row r="122" customFormat="false" ht="15" hidden="false" customHeight="false" outlineLevel="0" collapsed="false">
      <c r="A122" s="2" t="n">
        <v>1092</v>
      </c>
      <c r="B122" s="2" t="s">
        <v>106</v>
      </c>
      <c r="C122" s="2" t="s">
        <v>27</v>
      </c>
      <c r="D122" s="2" t="s">
        <v>18</v>
      </c>
      <c r="E122" s="2" t="s">
        <v>15</v>
      </c>
      <c r="F122" s="2" t="n">
        <v>1</v>
      </c>
      <c r="G122" s="3" t="n">
        <v>5800</v>
      </c>
      <c r="H122" s="3" t="n">
        <f aca="false">F122*G122</f>
        <v>5800</v>
      </c>
    </row>
    <row r="123" customFormat="false" ht="15" hidden="false" customHeight="false" outlineLevel="0" collapsed="false">
      <c r="A123" s="2" t="n">
        <v>1213</v>
      </c>
      <c r="B123" s="2" t="s">
        <v>106</v>
      </c>
      <c r="C123" s="2" t="s">
        <v>13</v>
      </c>
      <c r="D123" s="2" t="s">
        <v>14</v>
      </c>
      <c r="E123" s="2" t="s">
        <v>15</v>
      </c>
      <c r="F123" s="2" t="n">
        <v>1</v>
      </c>
      <c r="G123" s="3" t="n">
        <v>70</v>
      </c>
      <c r="H123" s="3" t="n">
        <f aca="false">F123*G123</f>
        <v>70</v>
      </c>
    </row>
    <row r="124" customFormat="false" ht="15" hidden="false" customHeight="false" outlineLevel="0" collapsed="false">
      <c r="A124" s="2" t="n">
        <v>1046</v>
      </c>
      <c r="B124" s="2" t="s">
        <v>107</v>
      </c>
      <c r="C124" s="2" t="s">
        <v>57</v>
      </c>
      <c r="D124" s="2" t="s">
        <v>22</v>
      </c>
      <c r="E124" s="2" t="s">
        <v>25</v>
      </c>
      <c r="F124" s="2" t="n">
        <v>2</v>
      </c>
      <c r="G124" s="3" t="n">
        <v>200</v>
      </c>
      <c r="H124" s="3" t="n">
        <f aca="false">F124*G124</f>
        <v>400</v>
      </c>
    </row>
    <row r="125" customFormat="false" ht="15" hidden="false" customHeight="false" outlineLevel="0" collapsed="false">
      <c r="A125" s="2" t="n">
        <v>1080</v>
      </c>
      <c r="B125" s="2" t="s">
        <v>107</v>
      </c>
      <c r="C125" s="2" t="s">
        <v>57</v>
      </c>
      <c r="D125" s="2" t="s">
        <v>22</v>
      </c>
      <c r="E125" s="2" t="s">
        <v>19</v>
      </c>
      <c r="F125" s="2" t="n">
        <v>3</v>
      </c>
      <c r="G125" s="3" t="n">
        <v>220</v>
      </c>
      <c r="H125" s="3" t="n">
        <f aca="false">F125*G125</f>
        <v>660</v>
      </c>
    </row>
    <row r="126" customFormat="false" ht="15" hidden="false" customHeight="false" outlineLevel="0" collapsed="false">
      <c r="A126" s="2" t="n">
        <v>1132</v>
      </c>
      <c r="B126" s="2" t="s">
        <v>108</v>
      </c>
      <c r="C126" s="2" t="s">
        <v>9</v>
      </c>
      <c r="D126" s="2" t="s">
        <v>10</v>
      </c>
      <c r="E126" s="2" t="s">
        <v>15</v>
      </c>
      <c r="F126" s="2" t="n">
        <v>1</v>
      </c>
      <c r="G126" s="3" t="n">
        <v>140</v>
      </c>
      <c r="H126" s="3" t="n">
        <f aca="false">F126*G126</f>
        <v>140</v>
      </c>
    </row>
    <row r="127" customFormat="false" ht="15" hidden="false" customHeight="false" outlineLevel="0" collapsed="false">
      <c r="A127" s="2" t="n">
        <v>1198</v>
      </c>
      <c r="B127" s="2" t="s">
        <v>108</v>
      </c>
      <c r="C127" s="2" t="s">
        <v>21</v>
      </c>
      <c r="D127" s="2" t="s">
        <v>22</v>
      </c>
      <c r="E127" s="2" t="s">
        <v>11</v>
      </c>
      <c r="F127" s="2" t="n">
        <v>1</v>
      </c>
      <c r="G127" s="3" t="n">
        <v>200</v>
      </c>
      <c r="H127" s="3" t="n">
        <f aca="false">F127*G127</f>
        <v>200</v>
      </c>
    </row>
    <row r="128" customFormat="false" ht="15" hidden="false" customHeight="false" outlineLevel="0" collapsed="false">
      <c r="A128" s="2" t="n">
        <v>1076</v>
      </c>
      <c r="B128" s="2" t="s">
        <v>109</v>
      </c>
      <c r="C128" s="2" t="s">
        <v>24</v>
      </c>
      <c r="D128" s="2" t="s">
        <v>10</v>
      </c>
      <c r="E128" s="2" t="s">
        <v>11</v>
      </c>
      <c r="F128" s="2" t="n">
        <v>1</v>
      </c>
      <c r="G128" s="3" t="n">
        <v>260</v>
      </c>
      <c r="H128" s="3" t="n">
        <f aca="false">F128*G128</f>
        <v>260</v>
      </c>
    </row>
    <row r="129" customFormat="false" ht="15" hidden="false" customHeight="false" outlineLevel="0" collapsed="false">
      <c r="A129" s="2" t="n">
        <v>1031</v>
      </c>
      <c r="B129" s="2" t="s">
        <v>110</v>
      </c>
      <c r="C129" s="2" t="s">
        <v>57</v>
      </c>
      <c r="D129" s="2" t="s">
        <v>22</v>
      </c>
      <c r="E129" s="2" t="s">
        <v>36</v>
      </c>
      <c r="F129" s="2" t="n">
        <v>1</v>
      </c>
      <c r="G129" s="3" t="n">
        <v>230</v>
      </c>
      <c r="H129" s="3" t="n">
        <f aca="false">F129*G129</f>
        <v>230</v>
      </c>
    </row>
    <row r="130" customFormat="false" ht="15" hidden="false" customHeight="false" outlineLevel="0" collapsed="false">
      <c r="A130" s="2" t="n">
        <v>1118</v>
      </c>
      <c r="B130" s="2" t="s">
        <v>110</v>
      </c>
      <c r="C130" s="2" t="s">
        <v>21</v>
      </c>
      <c r="D130" s="2" t="s">
        <v>22</v>
      </c>
      <c r="E130" s="2" t="s">
        <v>25</v>
      </c>
      <c r="F130" s="2" t="n">
        <v>2</v>
      </c>
      <c r="G130" s="3" t="n">
        <v>210</v>
      </c>
      <c r="H130" s="3" t="n">
        <f aca="false">F130*G130</f>
        <v>420</v>
      </c>
    </row>
    <row r="131" customFormat="false" ht="15" hidden="false" customHeight="false" outlineLevel="0" collapsed="false">
      <c r="A131" s="2" t="n">
        <v>1146</v>
      </c>
      <c r="B131" s="2" t="s">
        <v>110</v>
      </c>
      <c r="C131" s="2" t="s">
        <v>27</v>
      </c>
      <c r="D131" s="2" t="s">
        <v>18</v>
      </c>
      <c r="E131" s="2" t="s">
        <v>36</v>
      </c>
      <c r="F131" s="2" t="n">
        <v>2</v>
      </c>
      <c r="G131" s="3" t="n">
        <v>5810</v>
      </c>
      <c r="H131" s="3" t="n">
        <f aca="false">F131*G131</f>
        <v>11620</v>
      </c>
    </row>
    <row r="132" customFormat="false" ht="15" hidden="false" customHeight="false" outlineLevel="0" collapsed="false">
      <c r="A132" s="2" t="n">
        <v>1053</v>
      </c>
      <c r="B132" s="2" t="s">
        <v>111</v>
      </c>
      <c r="C132" s="2" t="s">
        <v>32</v>
      </c>
      <c r="D132" s="2" t="s">
        <v>18</v>
      </c>
      <c r="E132" s="2" t="s">
        <v>25</v>
      </c>
      <c r="F132" s="2" t="n">
        <v>2</v>
      </c>
      <c r="G132" s="3" t="n">
        <v>900</v>
      </c>
      <c r="H132" s="3" t="n">
        <f aca="false">F132*G132</f>
        <v>1800</v>
      </c>
    </row>
    <row r="133" customFormat="false" ht="15" hidden="false" customHeight="false" outlineLevel="0" collapsed="false">
      <c r="A133" s="2" t="n">
        <v>1192</v>
      </c>
      <c r="B133" s="2" t="s">
        <v>112</v>
      </c>
      <c r="C133" s="2" t="s">
        <v>21</v>
      </c>
      <c r="D133" s="2" t="s">
        <v>22</v>
      </c>
      <c r="E133" s="2" t="s">
        <v>36</v>
      </c>
      <c r="F133" s="2" t="n">
        <v>1</v>
      </c>
      <c r="G133" s="3" t="n">
        <v>180</v>
      </c>
      <c r="H133" s="3" t="n">
        <f aca="false">F133*G133</f>
        <v>180</v>
      </c>
    </row>
    <row r="134" customFormat="false" ht="15" hidden="false" customHeight="false" outlineLevel="0" collapsed="false">
      <c r="A134" s="2" t="n">
        <v>1039</v>
      </c>
      <c r="B134" s="2" t="s">
        <v>113</v>
      </c>
      <c r="C134" s="2" t="s">
        <v>30</v>
      </c>
      <c r="D134" s="2" t="s">
        <v>18</v>
      </c>
      <c r="E134" s="2" t="s">
        <v>15</v>
      </c>
      <c r="F134" s="2" t="n">
        <v>1</v>
      </c>
      <c r="G134" s="3" t="n">
        <v>3200</v>
      </c>
      <c r="H134" s="3" t="n">
        <f aca="false">F134*G134</f>
        <v>3200</v>
      </c>
    </row>
    <row r="135" customFormat="false" ht="15" hidden="false" customHeight="false" outlineLevel="0" collapsed="false">
      <c r="A135" s="2" t="n">
        <v>1086</v>
      </c>
      <c r="B135" s="2" t="s">
        <v>113</v>
      </c>
      <c r="C135" s="2" t="s">
        <v>9</v>
      </c>
      <c r="D135" s="2" t="s">
        <v>10</v>
      </c>
      <c r="E135" s="2" t="s">
        <v>11</v>
      </c>
      <c r="F135" s="2" t="n">
        <v>1</v>
      </c>
      <c r="G135" s="3" t="n">
        <v>100</v>
      </c>
      <c r="H135" s="3" t="n">
        <f aca="false">F135*G135</f>
        <v>100</v>
      </c>
    </row>
    <row r="136" customFormat="false" ht="15" hidden="false" customHeight="false" outlineLevel="0" collapsed="false">
      <c r="A136" s="2" t="n">
        <v>1177</v>
      </c>
      <c r="B136" s="2" t="s">
        <v>113</v>
      </c>
      <c r="C136" s="2" t="s">
        <v>57</v>
      </c>
      <c r="D136" s="2" t="s">
        <v>22</v>
      </c>
      <c r="E136" s="2" t="s">
        <v>11</v>
      </c>
      <c r="F136" s="2" t="n">
        <v>1</v>
      </c>
      <c r="G136" s="3" t="n">
        <v>240</v>
      </c>
      <c r="H136" s="3" t="n">
        <f aca="false">F136*G136</f>
        <v>240</v>
      </c>
    </row>
    <row r="137" customFormat="false" ht="15" hidden="false" customHeight="false" outlineLevel="0" collapsed="false">
      <c r="A137" s="2" t="n">
        <v>1194</v>
      </c>
      <c r="B137" s="2" t="s">
        <v>113</v>
      </c>
      <c r="C137" s="2" t="s">
        <v>17</v>
      </c>
      <c r="D137" s="2" t="s">
        <v>18</v>
      </c>
      <c r="E137" s="2" t="s">
        <v>36</v>
      </c>
      <c r="F137" s="2" t="n">
        <v>2</v>
      </c>
      <c r="G137" s="3" t="n">
        <v>370</v>
      </c>
      <c r="H137" s="3" t="n">
        <f aca="false">F137*G137</f>
        <v>740</v>
      </c>
    </row>
    <row r="138" customFormat="false" ht="15" hidden="false" customHeight="false" outlineLevel="0" collapsed="false">
      <c r="A138" s="2" t="n">
        <v>1125</v>
      </c>
      <c r="B138" s="2" t="s">
        <v>114</v>
      </c>
      <c r="C138" s="2" t="s">
        <v>49</v>
      </c>
      <c r="D138" s="2" t="s">
        <v>10</v>
      </c>
      <c r="E138" s="2" t="s">
        <v>36</v>
      </c>
      <c r="F138" s="2" t="n">
        <v>1</v>
      </c>
      <c r="G138" s="3" t="n">
        <v>440</v>
      </c>
      <c r="H138" s="3" t="n">
        <f aca="false">F138*G138</f>
        <v>440</v>
      </c>
    </row>
    <row r="139" customFormat="false" ht="15" hidden="false" customHeight="false" outlineLevel="0" collapsed="false">
      <c r="A139" s="2" t="n">
        <v>1212</v>
      </c>
      <c r="B139" s="2" t="s">
        <v>114</v>
      </c>
      <c r="C139" s="2" t="s">
        <v>21</v>
      </c>
      <c r="D139" s="2" t="s">
        <v>22</v>
      </c>
      <c r="E139" s="2" t="s">
        <v>36</v>
      </c>
      <c r="F139" s="2" t="n">
        <v>1</v>
      </c>
      <c r="G139" s="3" t="n">
        <v>200</v>
      </c>
      <c r="H139" s="3" t="n">
        <f aca="false">F139*G139</f>
        <v>200</v>
      </c>
    </row>
    <row r="140" customFormat="false" ht="15" hidden="false" customHeight="false" outlineLevel="0" collapsed="false">
      <c r="A140" s="2" t="n">
        <v>1036</v>
      </c>
      <c r="B140" s="2" t="s">
        <v>115</v>
      </c>
      <c r="C140" s="2" t="s">
        <v>17</v>
      </c>
      <c r="D140" s="2" t="s">
        <v>18</v>
      </c>
      <c r="E140" s="2" t="s">
        <v>19</v>
      </c>
      <c r="F140" s="2" t="n">
        <v>3</v>
      </c>
      <c r="G140" s="3" t="n">
        <v>350</v>
      </c>
      <c r="H140" s="3" t="n">
        <f aca="false">F140*G140</f>
        <v>1050</v>
      </c>
    </row>
    <row r="141" customFormat="false" ht="15" hidden="false" customHeight="false" outlineLevel="0" collapsed="false">
      <c r="A141" s="2" t="n">
        <v>1112</v>
      </c>
      <c r="B141" s="2" t="s">
        <v>115</v>
      </c>
      <c r="C141" s="2" t="s">
        <v>9</v>
      </c>
      <c r="D141" s="2" t="s">
        <v>10</v>
      </c>
      <c r="E141" s="2" t="s">
        <v>15</v>
      </c>
      <c r="F141" s="2" t="n">
        <v>3</v>
      </c>
      <c r="G141" s="3" t="n">
        <v>120</v>
      </c>
      <c r="H141" s="3" t="n">
        <f aca="false">F141*G141</f>
        <v>360</v>
      </c>
    </row>
    <row r="142" customFormat="false" ht="15" hidden="false" customHeight="false" outlineLevel="0" collapsed="false">
      <c r="A142" s="2" t="n">
        <v>1165</v>
      </c>
      <c r="B142" s="2" t="s">
        <v>115</v>
      </c>
      <c r="C142" s="2" t="s">
        <v>41</v>
      </c>
      <c r="D142" s="2" t="s">
        <v>38</v>
      </c>
      <c r="E142" s="2" t="s">
        <v>11</v>
      </c>
      <c r="F142" s="2" t="n">
        <v>1</v>
      </c>
      <c r="G142" s="3" t="n">
        <v>75</v>
      </c>
      <c r="H142" s="3" t="n">
        <f aca="false">F142*G142</f>
        <v>75</v>
      </c>
    </row>
    <row r="143" customFormat="false" ht="15" hidden="false" customHeight="false" outlineLevel="0" collapsed="false">
      <c r="A143" s="2" t="n">
        <v>1028</v>
      </c>
      <c r="B143" s="2" t="s">
        <v>116</v>
      </c>
      <c r="C143" s="2" t="s">
        <v>21</v>
      </c>
      <c r="D143" s="2" t="s">
        <v>22</v>
      </c>
      <c r="E143" s="2" t="s">
        <v>36</v>
      </c>
      <c r="F143" s="2" t="n">
        <v>1</v>
      </c>
      <c r="G143" s="3" t="n">
        <v>170</v>
      </c>
      <c r="H143" s="3" t="n">
        <f aca="false">F143*G143</f>
        <v>170</v>
      </c>
    </row>
    <row r="144" customFormat="false" ht="15" hidden="false" customHeight="false" outlineLevel="0" collapsed="false">
      <c r="A144" s="2" t="n">
        <v>1119</v>
      </c>
      <c r="B144" s="2" t="s">
        <v>116</v>
      </c>
      <c r="C144" s="2" t="s">
        <v>21</v>
      </c>
      <c r="D144" s="2" t="s">
        <v>22</v>
      </c>
      <c r="E144" s="2" t="s">
        <v>36</v>
      </c>
      <c r="F144" s="2" t="n">
        <v>3</v>
      </c>
      <c r="G144" s="3" t="n">
        <v>180</v>
      </c>
      <c r="H144" s="3" t="n">
        <f aca="false">F144*G144</f>
        <v>540</v>
      </c>
    </row>
    <row r="145" customFormat="false" ht="15" hidden="false" customHeight="false" outlineLevel="0" collapsed="false">
      <c r="A145" s="2" t="n">
        <v>1176</v>
      </c>
      <c r="B145" s="2" t="s">
        <v>117</v>
      </c>
      <c r="C145" s="2" t="s">
        <v>32</v>
      </c>
      <c r="D145" s="2" t="s">
        <v>18</v>
      </c>
      <c r="E145" s="2" t="s">
        <v>11</v>
      </c>
      <c r="F145" s="2" t="n">
        <v>1</v>
      </c>
      <c r="G145" s="3" t="n">
        <v>890</v>
      </c>
      <c r="H145" s="3" t="n">
        <f aca="false">F145*G145</f>
        <v>890</v>
      </c>
    </row>
    <row r="146" customFormat="false" ht="15" hidden="false" customHeight="false" outlineLevel="0" collapsed="false">
      <c r="A146" s="2" t="n">
        <v>1069</v>
      </c>
      <c r="B146" s="2" t="s">
        <v>118</v>
      </c>
      <c r="C146" s="2" t="s">
        <v>27</v>
      </c>
      <c r="D146" s="2" t="s">
        <v>18</v>
      </c>
      <c r="E146" s="2" t="s">
        <v>36</v>
      </c>
      <c r="F146" s="2" t="n">
        <v>1</v>
      </c>
      <c r="G146" s="3" t="n">
        <v>5810</v>
      </c>
      <c r="H146" s="3" t="n">
        <f aca="false">F146*G146</f>
        <v>5810</v>
      </c>
    </row>
    <row r="147" customFormat="false" ht="15" hidden="false" customHeight="false" outlineLevel="0" collapsed="false">
      <c r="A147" s="2" t="n">
        <v>1164</v>
      </c>
      <c r="B147" s="2" t="s">
        <v>119</v>
      </c>
      <c r="C147" s="2" t="s">
        <v>49</v>
      </c>
      <c r="D147" s="2" t="s">
        <v>10</v>
      </c>
      <c r="E147" s="2" t="s">
        <v>36</v>
      </c>
      <c r="F147" s="2" t="n">
        <v>3</v>
      </c>
      <c r="G147" s="3" t="n">
        <v>450</v>
      </c>
      <c r="H147" s="3" t="n">
        <f aca="false">F147*G147</f>
        <v>1350</v>
      </c>
    </row>
    <row r="148" customFormat="false" ht="15" hidden="false" customHeight="false" outlineLevel="0" collapsed="false">
      <c r="A148" s="2" t="n">
        <v>1012</v>
      </c>
      <c r="B148" s="2" t="s">
        <v>120</v>
      </c>
      <c r="C148" s="2" t="s">
        <v>17</v>
      </c>
      <c r="D148" s="2" t="s">
        <v>18</v>
      </c>
      <c r="E148" s="2" t="s">
        <v>19</v>
      </c>
      <c r="F148" s="2" t="n">
        <v>2</v>
      </c>
      <c r="G148" s="3" t="n">
        <v>330</v>
      </c>
      <c r="H148" s="3" t="n">
        <f aca="false">F148*G148</f>
        <v>660</v>
      </c>
    </row>
    <row r="149" customFormat="false" ht="15" hidden="false" customHeight="false" outlineLevel="0" collapsed="false">
      <c r="A149" s="2" t="n">
        <v>1026</v>
      </c>
      <c r="B149" s="2" t="s">
        <v>120</v>
      </c>
      <c r="C149" s="2" t="s">
        <v>9</v>
      </c>
      <c r="D149" s="2" t="s">
        <v>10</v>
      </c>
      <c r="E149" s="2" t="s">
        <v>11</v>
      </c>
      <c r="F149" s="2" t="n">
        <v>3</v>
      </c>
      <c r="G149" s="3" t="n">
        <v>130</v>
      </c>
      <c r="H149" s="3" t="n">
        <f aca="false">F149*G149</f>
        <v>390</v>
      </c>
    </row>
    <row r="150" customFormat="false" ht="15" hidden="false" customHeight="false" outlineLevel="0" collapsed="false">
      <c r="A150" s="2" t="n">
        <v>1038</v>
      </c>
      <c r="B150" s="2" t="s">
        <v>121</v>
      </c>
      <c r="C150" s="2" t="s">
        <v>57</v>
      </c>
      <c r="D150" s="2" t="s">
        <v>22</v>
      </c>
      <c r="E150" s="2" t="s">
        <v>15</v>
      </c>
      <c r="F150" s="2" t="n">
        <v>1</v>
      </c>
      <c r="G150" s="3" t="n">
        <v>230</v>
      </c>
      <c r="H150" s="3" t="n">
        <f aca="false">F150*G150</f>
        <v>230</v>
      </c>
    </row>
    <row r="151" customFormat="false" ht="15" hidden="false" customHeight="false" outlineLevel="0" collapsed="false">
      <c r="A151" s="2" t="n">
        <v>1052</v>
      </c>
      <c r="B151" s="2" t="s">
        <v>121</v>
      </c>
      <c r="C151" s="2" t="s">
        <v>27</v>
      </c>
      <c r="D151" s="2" t="s">
        <v>18</v>
      </c>
      <c r="E151" s="2" t="s">
        <v>19</v>
      </c>
      <c r="F151" s="2" t="n">
        <v>3</v>
      </c>
      <c r="G151" s="3" t="n">
        <v>5810</v>
      </c>
      <c r="H151" s="3" t="n">
        <f aca="false">F151*G151</f>
        <v>17430</v>
      </c>
    </row>
    <row r="152" customFormat="false" ht="15" hidden="false" customHeight="false" outlineLevel="0" collapsed="false">
      <c r="A152" s="2" t="n">
        <v>1043</v>
      </c>
      <c r="B152" s="2" t="s">
        <v>122</v>
      </c>
      <c r="C152" s="2" t="s">
        <v>27</v>
      </c>
      <c r="D152" s="2" t="s">
        <v>18</v>
      </c>
      <c r="E152" s="2" t="s">
        <v>19</v>
      </c>
      <c r="F152" s="2" t="n">
        <v>1</v>
      </c>
      <c r="G152" s="3" t="n">
        <v>5810</v>
      </c>
      <c r="H152" s="3" t="n">
        <f aca="false">F152*G152</f>
        <v>5810</v>
      </c>
    </row>
    <row r="153" customFormat="false" ht="15" hidden="false" customHeight="false" outlineLevel="0" collapsed="false">
      <c r="A153" s="2" t="n">
        <v>1048</v>
      </c>
      <c r="B153" s="2" t="s">
        <v>123</v>
      </c>
      <c r="C153" s="2" t="s">
        <v>32</v>
      </c>
      <c r="D153" s="2" t="s">
        <v>18</v>
      </c>
      <c r="E153" s="2" t="s">
        <v>36</v>
      </c>
      <c r="F153" s="2" t="n">
        <v>2</v>
      </c>
      <c r="G153" s="3" t="n">
        <v>890</v>
      </c>
      <c r="H153" s="3" t="n">
        <f aca="false">F153*G153</f>
        <v>1780</v>
      </c>
    </row>
    <row r="154" customFormat="false" ht="15" hidden="false" customHeight="false" outlineLevel="0" collapsed="false">
      <c r="A154" s="2" t="n">
        <v>1089</v>
      </c>
      <c r="B154" s="2" t="s">
        <v>123</v>
      </c>
      <c r="C154" s="2" t="s">
        <v>13</v>
      </c>
      <c r="D154" s="2" t="s">
        <v>14</v>
      </c>
      <c r="E154" s="2" t="s">
        <v>36</v>
      </c>
      <c r="F154" s="2" t="n">
        <v>2</v>
      </c>
      <c r="G154" s="3" t="n">
        <v>70</v>
      </c>
      <c r="H154" s="3" t="n">
        <f aca="false">F154*G154</f>
        <v>140</v>
      </c>
    </row>
    <row r="155" customFormat="false" ht="15" hidden="false" customHeight="false" outlineLevel="0" collapsed="false">
      <c r="A155" s="2" t="n">
        <v>1181</v>
      </c>
      <c r="B155" s="2" t="s">
        <v>123</v>
      </c>
      <c r="C155" s="2" t="s">
        <v>57</v>
      </c>
      <c r="D155" s="2" t="s">
        <v>22</v>
      </c>
      <c r="E155" s="2" t="s">
        <v>19</v>
      </c>
      <c r="F155" s="2" t="n">
        <v>1</v>
      </c>
      <c r="G155" s="3" t="n">
        <v>220</v>
      </c>
      <c r="H155" s="3" t="n">
        <f aca="false">F155*G155</f>
        <v>220</v>
      </c>
    </row>
    <row r="156" customFormat="false" ht="15" hidden="false" customHeight="false" outlineLevel="0" collapsed="false">
      <c r="A156" s="2" t="n">
        <v>1128</v>
      </c>
      <c r="B156" s="2" t="s">
        <v>124</v>
      </c>
      <c r="C156" s="2" t="s">
        <v>32</v>
      </c>
      <c r="D156" s="2" t="s">
        <v>18</v>
      </c>
      <c r="E156" s="2" t="s">
        <v>25</v>
      </c>
      <c r="F156" s="2" t="n">
        <v>1</v>
      </c>
      <c r="G156" s="3" t="n">
        <v>900</v>
      </c>
      <c r="H156" s="3" t="n">
        <f aca="false">F156*G156</f>
        <v>900</v>
      </c>
    </row>
    <row r="157" customFormat="false" ht="15" hidden="false" customHeight="false" outlineLevel="0" collapsed="false">
      <c r="A157" s="2" t="n">
        <v>1172</v>
      </c>
      <c r="B157" s="2" t="s">
        <v>125</v>
      </c>
      <c r="C157" s="2" t="s">
        <v>37</v>
      </c>
      <c r="D157" s="2" t="s">
        <v>38</v>
      </c>
      <c r="E157" s="2" t="s">
        <v>15</v>
      </c>
      <c r="F157" s="2" t="n">
        <v>3</v>
      </c>
      <c r="G157" s="3" t="n">
        <v>380</v>
      </c>
      <c r="H157" s="3" t="n">
        <f aca="false">F157*G157</f>
        <v>1140</v>
      </c>
    </row>
    <row r="158" customFormat="false" ht="15" hidden="false" customHeight="false" outlineLevel="0" collapsed="false">
      <c r="A158" s="2" t="n">
        <v>1160</v>
      </c>
      <c r="B158" s="2" t="s">
        <v>126</v>
      </c>
      <c r="C158" s="2" t="s">
        <v>41</v>
      </c>
      <c r="D158" s="2" t="s">
        <v>38</v>
      </c>
      <c r="E158" s="2" t="s">
        <v>25</v>
      </c>
      <c r="F158" s="2" t="n">
        <v>2</v>
      </c>
      <c r="G158" s="3" t="n">
        <v>95</v>
      </c>
      <c r="H158" s="3" t="n">
        <f aca="false">F158*G158</f>
        <v>190</v>
      </c>
    </row>
    <row r="159" customFormat="false" ht="15" hidden="false" customHeight="false" outlineLevel="0" collapsed="false">
      <c r="A159" s="2" t="n">
        <v>1067</v>
      </c>
      <c r="B159" s="2" t="s">
        <v>127</v>
      </c>
      <c r="C159" s="2" t="s">
        <v>13</v>
      </c>
      <c r="D159" s="2" t="s">
        <v>14</v>
      </c>
      <c r="E159" s="2" t="s">
        <v>15</v>
      </c>
      <c r="F159" s="2" t="n">
        <v>2</v>
      </c>
      <c r="G159" s="3" t="n">
        <v>40</v>
      </c>
      <c r="H159" s="3" t="n">
        <f aca="false">F159*G159</f>
        <v>80</v>
      </c>
    </row>
    <row r="160" customFormat="false" ht="15" hidden="false" customHeight="false" outlineLevel="0" collapsed="false">
      <c r="A160" s="2" t="n">
        <v>1027</v>
      </c>
      <c r="B160" s="2" t="s">
        <v>128</v>
      </c>
      <c r="C160" s="2" t="s">
        <v>49</v>
      </c>
      <c r="D160" s="2" t="s">
        <v>10</v>
      </c>
      <c r="E160" s="2" t="s">
        <v>25</v>
      </c>
      <c r="F160" s="2" t="n">
        <v>1</v>
      </c>
      <c r="G160" s="3" t="n">
        <v>440</v>
      </c>
      <c r="H160" s="3" t="n">
        <f aca="false">F160*G160</f>
        <v>440</v>
      </c>
    </row>
    <row r="161" customFormat="false" ht="15" hidden="false" customHeight="false" outlineLevel="0" collapsed="false">
      <c r="A161" s="2" t="n">
        <v>1215</v>
      </c>
      <c r="B161" s="2" t="s">
        <v>129</v>
      </c>
      <c r="C161" s="2" t="s">
        <v>30</v>
      </c>
      <c r="D161" s="2" t="s">
        <v>18</v>
      </c>
      <c r="E161" s="2" t="s">
        <v>19</v>
      </c>
      <c r="F161" s="2" t="n">
        <v>3</v>
      </c>
      <c r="G161" s="3" t="n">
        <v>3200</v>
      </c>
      <c r="H161" s="3" t="n">
        <f aca="false">F161*G161</f>
        <v>9600</v>
      </c>
    </row>
    <row r="162" customFormat="false" ht="15" hidden="false" customHeight="false" outlineLevel="0" collapsed="false">
      <c r="A162" s="2" t="n">
        <v>1030</v>
      </c>
      <c r="B162" s="2" t="s">
        <v>130</v>
      </c>
      <c r="C162" s="2" t="s">
        <v>17</v>
      </c>
      <c r="D162" s="2" t="s">
        <v>18</v>
      </c>
      <c r="E162" s="2" t="s">
        <v>19</v>
      </c>
      <c r="F162" s="2" t="n">
        <v>2</v>
      </c>
      <c r="G162" s="3" t="n">
        <v>350</v>
      </c>
      <c r="H162" s="3" t="n">
        <f aca="false">F162*G162</f>
        <v>700</v>
      </c>
    </row>
    <row r="163" customFormat="false" ht="15" hidden="false" customHeight="false" outlineLevel="0" collapsed="false">
      <c r="A163" s="2" t="n">
        <v>1072</v>
      </c>
      <c r="B163" s="2" t="s">
        <v>130</v>
      </c>
      <c r="C163" s="2" t="s">
        <v>30</v>
      </c>
      <c r="D163" s="2" t="s">
        <v>18</v>
      </c>
      <c r="E163" s="2" t="s">
        <v>11</v>
      </c>
      <c r="F163" s="2" t="n">
        <v>2</v>
      </c>
      <c r="G163" s="3" t="n">
        <v>3180</v>
      </c>
      <c r="H163" s="3" t="n">
        <f aca="false">F163*G163</f>
        <v>6360</v>
      </c>
    </row>
    <row r="164" customFormat="false" ht="15" hidden="false" customHeight="false" outlineLevel="0" collapsed="false">
      <c r="A164" s="2" t="n">
        <v>1130</v>
      </c>
      <c r="B164" s="2" t="s">
        <v>130</v>
      </c>
      <c r="C164" s="2" t="s">
        <v>24</v>
      </c>
      <c r="D164" s="2" t="s">
        <v>10</v>
      </c>
      <c r="E164" s="2" t="s">
        <v>19</v>
      </c>
      <c r="F164" s="2" t="n">
        <v>2</v>
      </c>
      <c r="G164" s="3" t="n">
        <v>290</v>
      </c>
      <c r="H164" s="3" t="n">
        <f aca="false">F164*G164</f>
        <v>580</v>
      </c>
    </row>
    <row r="165" customFormat="false" ht="15" hidden="false" customHeight="false" outlineLevel="0" collapsed="false">
      <c r="A165" s="2" t="n">
        <v>1175</v>
      </c>
      <c r="B165" s="2" t="s">
        <v>130</v>
      </c>
      <c r="C165" s="2" t="s">
        <v>13</v>
      </c>
      <c r="D165" s="2" t="s">
        <v>14</v>
      </c>
      <c r="E165" s="2" t="s">
        <v>36</v>
      </c>
      <c r="F165" s="2" t="n">
        <v>1</v>
      </c>
      <c r="G165" s="3" t="n">
        <v>70</v>
      </c>
      <c r="H165" s="3" t="n">
        <f aca="false">F165*G165</f>
        <v>70</v>
      </c>
    </row>
    <row r="166" customFormat="false" ht="15" hidden="false" customHeight="false" outlineLevel="0" collapsed="false">
      <c r="A166" s="2" t="n">
        <v>1197</v>
      </c>
      <c r="B166" s="2" t="s">
        <v>130</v>
      </c>
      <c r="C166" s="2" t="s">
        <v>37</v>
      </c>
      <c r="D166" s="2" t="s">
        <v>38</v>
      </c>
      <c r="E166" s="2" t="s">
        <v>11</v>
      </c>
      <c r="F166" s="2" t="n">
        <v>1</v>
      </c>
      <c r="G166" s="3" t="n">
        <v>390</v>
      </c>
      <c r="H166" s="3" t="n">
        <f aca="false">F166*G166</f>
        <v>390</v>
      </c>
    </row>
    <row r="167" customFormat="false" ht="15" hidden="false" customHeight="false" outlineLevel="0" collapsed="false">
      <c r="A167" s="2" t="n">
        <v>1037</v>
      </c>
      <c r="B167" s="2" t="s">
        <v>131</v>
      </c>
      <c r="C167" s="2" t="s">
        <v>32</v>
      </c>
      <c r="D167" s="2" t="s">
        <v>18</v>
      </c>
      <c r="E167" s="2" t="s">
        <v>25</v>
      </c>
      <c r="F167" s="2" t="n">
        <v>1</v>
      </c>
      <c r="G167" s="3" t="n">
        <v>900</v>
      </c>
      <c r="H167" s="3" t="n">
        <f aca="false">F167*G167</f>
        <v>900</v>
      </c>
    </row>
    <row r="168" customFormat="false" ht="15" hidden="false" customHeight="false" outlineLevel="0" collapsed="false">
      <c r="A168" s="2" t="n">
        <v>1158</v>
      </c>
      <c r="B168" s="2" t="s">
        <v>131</v>
      </c>
      <c r="C168" s="2" t="s">
        <v>13</v>
      </c>
      <c r="D168" s="2" t="s">
        <v>14</v>
      </c>
      <c r="E168" s="2" t="s">
        <v>25</v>
      </c>
      <c r="F168" s="2" t="n">
        <v>3</v>
      </c>
      <c r="G168" s="3" t="n">
        <v>40</v>
      </c>
      <c r="H168" s="3" t="n">
        <f aca="false">F168*G168</f>
        <v>120</v>
      </c>
    </row>
    <row r="169" customFormat="false" ht="15" hidden="false" customHeight="false" outlineLevel="0" collapsed="false">
      <c r="A169" s="2" t="n">
        <v>1115</v>
      </c>
      <c r="B169" s="2" t="s">
        <v>132</v>
      </c>
      <c r="C169" s="2" t="s">
        <v>37</v>
      </c>
      <c r="D169" s="2" t="s">
        <v>38</v>
      </c>
      <c r="E169" s="2" t="s">
        <v>19</v>
      </c>
      <c r="F169" s="2" t="n">
        <v>1</v>
      </c>
      <c r="G169" s="3" t="n">
        <v>380</v>
      </c>
      <c r="H169" s="3" t="n">
        <f aca="false">F169*G169</f>
        <v>380</v>
      </c>
    </row>
    <row r="170" customFormat="false" ht="15" hidden="false" customHeight="false" outlineLevel="0" collapsed="false">
      <c r="A170" s="2" t="n">
        <v>1169</v>
      </c>
      <c r="B170" s="2" t="s">
        <v>132</v>
      </c>
      <c r="C170" s="2" t="s">
        <v>57</v>
      </c>
      <c r="D170" s="2" t="s">
        <v>22</v>
      </c>
      <c r="E170" s="2" t="s">
        <v>11</v>
      </c>
      <c r="F170" s="2" t="n">
        <v>2</v>
      </c>
      <c r="G170" s="3" t="n">
        <v>220</v>
      </c>
      <c r="H170" s="3" t="n">
        <f aca="false">F170*G170</f>
        <v>440</v>
      </c>
    </row>
    <row r="171" customFormat="false" ht="15" hidden="false" customHeight="false" outlineLevel="0" collapsed="false">
      <c r="A171" s="2" t="n">
        <v>1095</v>
      </c>
      <c r="B171" s="2" t="s">
        <v>133</v>
      </c>
      <c r="C171" s="2" t="s">
        <v>13</v>
      </c>
      <c r="D171" s="2" t="s">
        <v>14</v>
      </c>
      <c r="E171" s="2" t="s">
        <v>25</v>
      </c>
      <c r="F171" s="2" t="n">
        <v>1</v>
      </c>
      <c r="G171" s="3" t="n">
        <v>50</v>
      </c>
      <c r="H171" s="3" t="n">
        <f aca="false">F171*G171</f>
        <v>50</v>
      </c>
    </row>
    <row r="172" customFormat="false" ht="15" hidden="false" customHeight="false" outlineLevel="0" collapsed="false">
      <c r="A172" s="2" t="n">
        <v>1077</v>
      </c>
      <c r="B172" s="2" t="s">
        <v>134</v>
      </c>
      <c r="C172" s="2" t="s">
        <v>37</v>
      </c>
      <c r="D172" s="2" t="s">
        <v>38</v>
      </c>
      <c r="E172" s="2" t="s">
        <v>19</v>
      </c>
      <c r="F172" s="2" t="n">
        <v>1</v>
      </c>
      <c r="G172" s="3" t="n">
        <v>360</v>
      </c>
      <c r="H172" s="3" t="n">
        <f aca="false">F172*G172</f>
        <v>360</v>
      </c>
    </row>
    <row r="173" customFormat="false" ht="15" hidden="false" customHeight="false" outlineLevel="0" collapsed="false">
      <c r="A173" s="2" t="n">
        <v>1111</v>
      </c>
      <c r="B173" s="2" t="s">
        <v>134</v>
      </c>
      <c r="C173" s="2" t="s">
        <v>24</v>
      </c>
      <c r="D173" s="2" t="s">
        <v>10</v>
      </c>
      <c r="E173" s="2" t="s">
        <v>15</v>
      </c>
      <c r="F173" s="2" t="n">
        <v>3</v>
      </c>
      <c r="G173" s="3" t="n">
        <v>260</v>
      </c>
      <c r="H173" s="3" t="n">
        <f aca="false">F173*G173</f>
        <v>780</v>
      </c>
    </row>
    <row r="174" customFormat="false" ht="15" hidden="false" customHeight="false" outlineLevel="0" collapsed="false">
      <c r="A174" s="2" t="n">
        <v>1155</v>
      </c>
      <c r="B174" s="2" t="s">
        <v>134</v>
      </c>
      <c r="C174" s="2" t="s">
        <v>27</v>
      </c>
      <c r="D174" s="2" t="s">
        <v>18</v>
      </c>
      <c r="E174" s="2" t="s">
        <v>11</v>
      </c>
      <c r="F174" s="2" t="n">
        <v>1</v>
      </c>
      <c r="G174" s="3" t="n">
        <v>5790</v>
      </c>
      <c r="H174" s="3" t="n">
        <f aca="false">F174*G174</f>
        <v>5790</v>
      </c>
    </row>
    <row r="175" customFormat="false" ht="15" hidden="false" customHeight="false" outlineLevel="0" collapsed="false">
      <c r="A175" s="2" t="n">
        <v>1019</v>
      </c>
      <c r="B175" s="2" t="s">
        <v>135</v>
      </c>
      <c r="C175" s="2" t="s">
        <v>27</v>
      </c>
      <c r="D175" s="2" t="s">
        <v>18</v>
      </c>
      <c r="E175" s="2" t="s">
        <v>25</v>
      </c>
      <c r="F175" s="2" t="n">
        <v>2</v>
      </c>
      <c r="G175" s="3" t="n">
        <v>5820</v>
      </c>
      <c r="H175" s="3" t="n">
        <f aca="false">F175*G175</f>
        <v>11640</v>
      </c>
    </row>
    <row r="176" customFormat="false" ht="15" hidden="false" customHeight="false" outlineLevel="0" collapsed="false">
      <c r="A176" s="2" t="n">
        <v>1167</v>
      </c>
      <c r="B176" s="2" t="s">
        <v>135</v>
      </c>
      <c r="C176" s="2" t="s">
        <v>21</v>
      </c>
      <c r="D176" s="2" t="s">
        <v>22</v>
      </c>
      <c r="E176" s="2" t="s">
        <v>11</v>
      </c>
      <c r="F176" s="2" t="n">
        <v>3</v>
      </c>
      <c r="G176" s="3" t="n">
        <v>180</v>
      </c>
      <c r="H176" s="3" t="n">
        <f aca="false">F176*G176</f>
        <v>540</v>
      </c>
    </row>
    <row r="177" customFormat="false" ht="15" hidden="false" customHeight="false" outlineLevel="0" collapsed="false">
      <c r="A177" s="2" t="n">
        <v>1001</v>
      </c>
      <c r="B177" s="2" t="s">
        <v>136</v>
      </c>
      <c r="C177" s="2" t="s">
        <v>17</v>
      </c>
      <c r="D177" s="2" t="s">
        <v>18</v>
      </c>
      <c r="E177" s="2" t="s">
        <v>15</v>
      </c>
      <c r="F177" s="2" t="n">
        <v>1</v>
      </c>
      <c r="G177" s="3" t="n">
        <v>370</v>
      </c>
      <c r="H177" s="3" t="n">
        <f aca="false">F177*G177</f>
        <v>370</v>
      </c>
    </row>
    <row r="178" customFormat="false" ht="15" hidden="false" customHeight="false" outlineLevel="0" collapsed="false">
      <c r="A178" s="2" t="n">
        <v>1088</v>
      </c>
      <c r="B178" s="2" t="s">
        <v>136</v>
      </c>
      <c r="C178" s="2" t="s">
        <v>9</v>
      </c>
      <c r="D178" s="2" t="s">
        <v>10</v>
      </c>
      <c r="E178" s="2" t="s">
        <v>11</v>
      </c>
      <c r="F178" s="2" t="n">
        <v>1</v>
      </c>
      <c r="G178" s="3" t="n">
        <v>140</v>
      </c>
      <c r="H178" s="3" t="n">
        <f aca="false">F178*G178</f>
        <v>140</v>
      </c>
    </row>
    <row r="179" customFormat="false" ht="15" hidden="false" customHeight="false" outlineLevel="0" collapsed="false">
      <c r="A179" s="2" t="n">
        <v>1178</v>
      </c>
      <c r="B179" s="2" t="s">
        <v>137</v>
      </c>
      <c r="C179" s="2" t="s">
        <v>13</v>
      </c>
      <c r="D179" s="2" t="s">
        <v>14</v>
      </c>
      <c r="E179" s="2" t="s">
        <v>36</v>
      </c>
      <c r="F179" s="2" t="n">
        <v>2</v>
      </c>
      <c r="G179" s="3" t="n">
        <v>60</v>
      </c>
      <c r="H179" s="3" t="n">
        <f aca="false">F179*G179</f>
        <v>120</v>
      </c>
    </row>
    <row r="180" customFormat="false" ht="15" hidden="false" customHeight="false" outlineLevel="0" collapsed="false">
      <c r="A180" s="2" t="n">
        <v>1061</v>
      </c>
      <c r="B180" s="2" t="s">
        <v>138</v>
      </c>
      <c r="C180" s="2" t="s">
        <v>57</v>
      </c>
      <c r="D180" s="2" t="s">
        <v>22</v>
      </c>
      <c r="E180" s="2" t="s">
        <v>25</v>
      </c>
      <c r="F180" s="2" t="n">
        <v>1</v>
      </c>
      <c r="G180" s="3" t="n">
        <v>200</v>
      </c>
      <c r="H180" s="3" t="n">
        <f aca="false">F180*G180</f>
        <v>200</v>
      </c>
    </row>
    <row r="181" customFormat="false" ht="15" hidden="false" customHeight="false" outlineLevel="0" collapsed="false">
      <c r="A181" s="2" t="n">
        <v>1073</v>
      </c>
      <c r="B181" s="2" t="s">
        <v>139</v>
      </c>
      <c r="C181" s="2" t="s">
        <v>37</v>
      </c>
      <c r="D181" s="2" t="s">
        <v>38</v>
      </c>
      <c r="E181" s="2" t="s">
        <v>15</v>
      </c>
      <c r="F181" s="2" t="n">
        <v>2</v>
      </c>
      <c r="G181" s="3" t="n">
        <v>390</v>
      </c>
      <c r="H181" s="3" t="n">
        <f aca="false">F181*G181</f>
        <v>780</v>
      </c>
    </row>
    <row r="182" customFormat="false" ht="15" hidden="false" customHeight="false" outlineLevel="0" collapsed="false">
      <c r="A182" s="2" t="n">
        <v>1101</v>
      </c>
      <c r="B182" s="2" t="s">
        <v>139</v>
      </c>
      <c r="C182" s="2" t="s">
        <v>32</v>
      </c>
      <c r="D182" s="2" t="s">
        <v>18</v>
      </c>
      <c r="E182" s="2" t="s">
        <v>15</v>
      </c>
      <c r="F182" s="2" t="n">
        <v>2</v>
      </c>
      <c r="G182" s="3" t="n">
        <v>900</v>
      </c>
      <c r="H182" s="3" t="n">
        <f aca="false">F182*G182</f>
        <v>1800</v>
      </c>
    </row>
    <row r="183" customFormat="false" ht="15" hidden="false" customHeight="false" outlineLevel="0" collapsed="false">
      <c r="A183" s="2" t="n">
        <v>1094</v>
      </c>
      <c r="B183" s="2" t="s">
        <v>140</v>
      </c>
      <c r="C183" s="2" t="s">
        <v>17</v>
      </c>
      <c r="D183" s="2" t="s">
        <v>18</v>
      </c>
      <c r="E183" s="2" t="s">
        <v>11</v>
      </c>
      <c r="F183" s="2" t="n">
        <v>1</v>
      </c>
      <c r="G183" s="3" t="n">
        <v>360</v>
      </c>
      <c r="H183" s="3" t="n">
        <f aca="false">F183*G183</f>
        <v>360</v>
      </c>
    </row>
    <row r="184" customFormat="false" ht="15" hidden="false" customHeight="false" outlineLevel="0" collapsed="false">
      <c r="A184" s="2" t="n">
        <v>1156</v>
      </c>
      <c r="B184" s="2" t="s">
        <v>141</v>
      </c>
      <c r="C184" s="2" t="s">
        <v>17</v>
      </c>
      <c r="D184" s="2" t="s">
        <v>18</v>
      </c>
      <c r="E184" s="2" t="s">
        <v>11</v>
      </c>
      <c r="F184" s="2" t="n">
        <v>2</v>
      </c>
      <c r="G184" s="3" t="n">
        <v>340</v>
      </c>
      <c r="H184" s="3" t="n">
        <f aca="false">F184*G184</f>
        <v>680</v>
      </c>
    </row>
    <row r="185" customFormat="false" ht="15" hidden="false" customHeight="false" outlineLevel="0" collapsed="false">
      <c r="A185" s="2" t="n">
        <v>1056</v>
      </c>
      <c r="B185" s="2" t="s">
        <v>142</v>
      </c>
      <c r="C185" s="2" t="s">
        <v>41</v>
      </c>
      <c r="D185" s="2" t="s">
        <v>38</v>
      </c>
      <c r="E185" s="2" t="s">
        <v>36</v>
      </c>
      <c r="F185" s="2" t="n">
        <v>3</v>
      </c>
      <c r="G185" s="3" t="n">
        <v>75</v>
      </c>
      <c r="H185" s="3" t="n">
        <f aca="false">F185*G185</f>
        <v>225</v>
      </c>
    </row>
    <row r="186" customFormat="false" ht="15" hidden="false" customHeight="false" outlineLevel="0" collapsed="false">
      <c r="A186" s="2" t="n">
        <v>1003</v>
      </c>
      <c r="B186" s="2" t="s">
        <v>143</v>
      </c>
      <c r="C186" s="2" t="s">
        <v>13</v>
      </c>
      <c r="D186" s="2" t="s">
        <v>14</v>
      </c>
      <c r="E186" s="2" t="s">
        <v>19</v>
      </c>
      <c r="F186" s="2" t="n">
        <v>2</v>
      </c>
      <c r="G186" s="3" t="n">
        <v>40</v>
      </c>
      <c r="H186" s="3" t="n">
        <f aca="false">F186*G186</f>
        <v>80</v>
      </c>
    </row>
    <row r="187" customFormat="false" ht="15" hidden="false" customHeight="false" outlineLevel="0" collapsed="false">
      <c r="A187" s="2" t="n">
        <v>1032</v>
      </c>
      <c r="B187" s="2" t="s">
        <v>144</v>
      </c>
      <c r="C187" s="2" t="s">
        <v>13</v>
      </c>
      <c r="D187" s="2" t="s">
        <v>14</v>
      </c>
      <c r="E187" s="2" t="s">
        <v>19</v>
      </c>
      <c r="F187" s="2" t="n">
        <v>1</v>
      </c>
      <c r="G187" s="3" t="n">
        <v>80</v>
      </c>
      <c r="H187" s="3" t="n">
        <f aca="false">F187*G187</f>
        <v>80</v>
      </c>
    </row>
    <row r="188" customFormat="false" ht="15" hidden="false" customHeight="false" outlineLevel="0" collapsed="false">
      <c r="A188" s="2" t="n">
        <v>1137</v>
      </c>
      <c r="B188" s="2" t="s">
        <v>145</v>
      </c>
      <c r="C188" s="2" t="s">
        <v>27</v>
      </c>
      <c r="D188" s="2" t="s">
        <v>18</v>
      </c>
      <c r="E188" s="2" t="s">
        <v>36</v>
      </c>
      <c r="F188" s="2" t="n">
        <v>3</v>
      </c>
      <c r="G188" s="3" t="n">
        <v>5790</v>
      </c>
      <c r="H188" s="3" t="n">
        <f aca="false">F188*G188</f>
        <v>17370</v>
      </c>
    </row>
    <row r="189" customFormat="false" ht="15" hidden="false" customHeight="false" outlineLevel="0" collapsed="false">
      <c r="A189" s="2" t="n">
        <v>1065</v>
      </c>
      <c r="B189" s="2" t="s">
        <v>146</v>
      </c>
      <c r="C189" s="2" t="s">
        <v>13</v>
      </c>
      <c r="D189" s="2" t="s">
        <v>14</v>
      </c>
      <c r="E189" s="2" t="s">
        <v>11</v>
      </c>
      <c r="F189" s="2" t="n">
        <v>2</v>
      </c>
      <c r="G189" s="3" t="n">
        <v>80</v>
      </c>
      <c r="H189" s="3" t="n">
        <f aca="false">F189*G189</f>
        <v>160</v>
      </c>
    </row>
    <row r="190" customFormat="false" ht="15" hidden="false" customHeight="false" outlineLevel="0" collapsed="false">
      <c r="A190" s="2" t="n">
        <v>1018</v>
      </c>
      <c r="B190" s="2" t="s">
        <v>147</v>
      </c>
      <c r="C190" s="2" t="s">
        <v>41</v>
      </c>
      <c r="D190" s="2" t="s">
        <v>38</v>
      </c>
      <c r="E190" s="2" t="s">
        <v>19</v>
      </c>
      <c r="F190" s="2" t="n">
        <v>3</v>
      </c>
      <c r="G190" s="3" t="n">
        <v>75</v>
      </c>
      <c r="H190" s="3" t="n">
        <f aca="false">F190*G190</f>
        <v>225</v>
      </c>
    </row>
    <row r="191" customFormat="false" ht="15" hidden="false" customHeight="false" outlineLevel="0" collapsed="false">
      <c r="A191" s="2" t="n">
        <v>1157</v>
      </c>
      <c r="B191" s="2" t="s">
        <v>147</v>
      </c>
      <c r="C191" s="2" t="s">
        <v>9</v>
      </c>
      <c r="D191" s="2" t="s">
        <v>10</v>
      </c>
      <c r="E191" s="2" t="s">
        <v>19</v>
      </c>
      <c r="F191" s="2" t="n">
        <v>1</v>
      </c>
      <c r="G191" s="3" t="n">
        <v>110</v>
      </c>
      <c r="H191" s="3" t="n">
        <f aca="false">F191*G191</f>
        <v>110</v>
      </c>
    </row>
    <row r="192" customFormat="false" ht="15" hidden="false" customHeight="false" outlineLevel="0" collapsed="false">
      <c r="A192" s="2" t="n">
        <v>1205</v>
      </c>
      <c r="B192" s="2" t="s">
        <v>147</v>
      </c>
      <c r="C192" s="2" t="s">
        <v>21</v>
      </c>
      <c r="D192" s="2" t="s">
        <v>22</v>
      </c>
      <c r="E192" s="2" t="s">
        <v>25</v>
      </c>
      <c r="F192" s="2" t="n">
        <v>1</v>
      </c>
      <c r="G192" s="3" t="n">
        <v>210</v>
      </c>
      <c r="H192" s="3" t="n">
        <f aca="false">F192*G192</f>
        <v>210</v>
      </c>
    </row>
    <row r="193" customFormat="false" ht="15" hidden="false" customHeight="false" outlineLevel="0" collapsed="false">
      <c r="A193" s="2" t="n">
        <v>1211</v>
      </c>
      <c r="B193" s="2" t="s">
        <v>147</v>
      </c>
      <c r="C193" s="2" t="s">
        <v>49</v>
      </c>
      <c r="D193" s="2" t="s">
        <v>10</v>
      </c>
      <c r="E193" s="2" t="s">
        <v>19</v>
      </c>
      <c r="F193" s="2" t="n">
        <v>1</v>
      </c>
      <c r="G193" s="3" t="n">
        <v>460</v>
      </c>
      <c r="H193" s="3" t="n">
        <f aca="false">F193*G193</f>
        <v>460</v>
      </c>
    </row>
    <row r="194" customFormat="false" ht="15" hidden="false" customHeight="false" outlineLevel="0" collapsed="false">
      <c r="A194" s="2" t="n">
        <v>1045</v>
      </c>
      <c r="B194" s="2" t="s">
        <v>148</v>
      </c>
      <c r="C194" s="2" t="s">
        <v>9</v>
      </c>
      <c r="D194" s="2" t="s">
        <v>10</v>
      </c>
      <c r="E194" s="2" t="s">
        <v>15</v>
      </c>
      <c r="F194" s="2" t="n">
        <v>2</v>
      </c>
      <c r="G194" s="3" t="n">
        <v>140</v>
      </c>
      <c r="H194" s="3" t="n">
        <f aca="false">F194*G194</f>
        <v>280</v>
      </c>
    </row>
    <row r="195" customFormat="false" ht="15" hidden="false" customHeight="false" outlineLevel="0" collapsed="false">
      <c r="A195" s="2" t="n">
        <v>1035</v>
      </c>
      <c r="B195" s="2" t="s">
        <v>149</v>
      </c>
      <c r="C195" s="2" t="s">
        <v>13</v>
      </c>
      <c r="D195" s="2" t="s">
        <v>14</v>
      </c>
      <c r="E195" s="2" t="s">
        <v>25</v>
      </c>
      <c r="F195" s="2" t="n">
        <v>1</v>
      </c>
      <c r="G195" s="3" t="n">
        <v>70</v>
      </c>
      <c r="H195" s="3" t="n">
        <f aca="false">F195*G195</f>
        <v>70</v>
      </c>
    </row>
    <row r="196" customFormat="false" ht="15" hidden="false" customHeight="false" outlineLevel="0" collapsed="false">
      <c r="A196" s="2" t="n">
        <v>1186</v>
      </c>
      <c r="B196" s="2" t="s">
        <v>150</v>
      </c>
      <c r="C196" s="2" t="s">
        <v>37</v>
      </c>
      <c r="D196" s="2" t="s">
        <v>38</v>
      </c>
      <c r="E196" s="2" t="s">
        <v>15</v>
      </c>
      <c r="F196" s="2" t="n">
        <v>2</v>
      </c>
      <c r="G196" s="3" t="n">
        <v>390</v>
      </c>
      <c r="H196" s="3" t="n">
        <f aca="false">F196*G196</f>
        <v>780</v>
      </c>
    </row>
    <row r="197" customFormat="false" ht="15" hidden="false" customHeight="false" outlineLevel="0" collapsed="false">
      <c r="A197" s="2" t="n">
        <v>1106</v>
      </c>
      <c r="B197" s="2" t="s">
        <v>151</v>
      </c>
      <c r="C197" s="2" t="s">
        <v>24</v>
      </c>
      <c r="D197" s="2" t="s">
        <v>10</v>
      </c>
      <c r="E197" s="2" t="s">
        <v>19</v>
      </c>
      <c r="F197" s="2" t="n">
        <v>2</v>
      </c>
      <c r="G197" s="3" t="n">
        <v>290</v>
      </c>
      <c r="H197" s="3" t="n">
        <f aca="false">F197*G197</f>
        <v>580</v>
      </c>
    </row>
    <row r="198" customFormat="false" ht="15" hidden="false" customHeight="false" outlineLevel="0" collapsed="false">
      <c r="A198" s="2" t="n">
        <v>1170</v>
      </c>
      <c r="B198" s="2" t="s">
        <v>152</v>
      </c>
      <c r="C198" s="2" t="s">
        <v>37</v>
      </c>
      <c r="D198" s="2" t="s">
        <v>38</v>
      </c>
      <c r="E198" s="2" t="s">
        <v>25</v>
      </c>
      <c r="F198" s="2" t="n">
        <v>1</v>
      </c>
      <c r="G198" s="3" t="n">
        <v>380</v>
      </c>
      <c r="H198" s="3" t="n">
        <f aca="false">F198*G198</f>
        <v>380</v>
      </c>
    </row>
    <row r="199" customFormat="false" ht="15" hidden="false" customHeight="false" outlineLevel="0" collapsed="false">
      <c r="A199" s="2" t="n">
        <v>1097</v>
      </c>
      <c r="B199" s="2" t="s">
        <v>153</v>
      </c>
      <c r="C199" s="2" t="s">
        <v>24</v>
      </c>
      <c r="D199" s="2" t="s">
        <v>10</v>
      </c>
      <c r="E199" s="2" t="s">
        <v>25</v>
      </c>
      <c r="F199" s="2" t="n">
        <v>2</v>
      </c>
      <c r="G199" s="3" t="n">
        <v>300</v>
      </c>
      <c r="H199" s="3" t="n">
        <f aca="false">F199*G199</f>
        <v>600</v>
      </c>
    </row>
    <row r="200" customFormat="false" ht="15" hidden="false" customHeight="false" outlineLevel="0" collapsed="false">
      <c r="A200" s="2" t="n">
        <v>1200</v>
      </c>
      <c r="B200" s="2" t="s">
        <v>154</v>
      </c>
      <c r="C200" s="2" t="s">
        <v>17</v>
      </c>
      <c r="D200" s="2" t="s">
        <v>18</v>
      </c>
      <c r="E200" s="2" t="s">
        <v>25</v>
      </c>
      <c r="F200" s="2" t="n">
        <v>1</v>
      </c>
      <c r="G200" s="3" t="n">
        <v>370</v>
      </c>
      <c r="H200" s="3" t="n">
        <f aca="false">F200*G200</f>
        <v>370</v>
      </c>
    </row>
    <row r="201" customFormat="false" ht="15" hidden="false" customHeight="false" outlineLevel="0" collapsed="false">
      <c r="A201" s="2" t="n">
        <v>1033</v>
      </c>
      <c r="B201" s="2" t="s">
        <v>155</v>
      </c>
      <c r="C201" s="2" t="s">
        <v>9</v>
      </c>
      <c r="D201" s="2" t="s">
        <v>10</v>
      </c>
      <c r="E201" s="2" t="s">
        <v>36</v>
      </c>
      <c r="F201" s="2" t="n">
        <v>3</v>
      </c>
      <c r="G201" s="3" t="n">
        <v>120</v>
      </c>
      <c r="H201" s="3" t="n">
        <f aca="false">F201*G201</f>
        <v>360</v>
      </c>
    </row>
    <row r="202" customFormat="false" ht="15" hidden="false" customHeight="false" outlineLevel="0" collapsed="false">
      <c r="A202" s="2" t="n">
        <v>1126</v>
      </c>
      <c r="B202" s="2" t="s">
        <v>155</v>
      </c>
      <c r="C202" s="2" t="s">
        <v>17</v>
      </c>
      <c r="D202" s="2" t="s">
        <v>18</v>
      </c>
      <c r="E202" s="2" t="s">
        <v>25</v>
      </c>
      <c r="F202" s="2" t="n">
        <v>2</v>
      </c>
      <c r="G202" s="3" t="n">
        <v>340</v>
      </c>
      <c r="H202" s="3" t="n">
        <f aca="false">F202*G202</f>
        <v>680</v>
      </c>
    </row>
    <row r="203" customFormat="false" ht="15" hidden="false" customHeight="false" outlineLevel="0" collapsed="false">
      <c r="A203" s="2" t="n">
        <v>1142</v>
      </c>
      <c r="B203" s="2" t="s">
        <v>155</v>
      </c>
      <c r="C203" s="2" t="s">
        <v>49</v>
      </c>
      <c r="D203" s="2" t="s">
        <v>10</v>
      </c>
      <c r="E203" s="2" t="s">
        <v>19</v>
      </c>
      <c r="F203" s="2" t="n">
        <v>2</v>
      </c>
      <c r="G203" s="3" t="n">
        <v>460</v>
      </c>
      <c r="H203" s="3" t="n">
        <f aca="false">F203*G203</f>
        <v>920</v>
      </c>
    </row>
    <row r="204" customFormat="false" ht="15" hidden="false" customHeight="false" outlineLevel="0" collapsed="false">
      <c r="A204" s="2" t="n">
        <v>1154</v>
      </c>
      <c r="B204" s="2" t="s">
        <v>156</v>
      </c>
      <c r="C204" s="2" t="s">
        <v>30</v>
      </c>
      <c r="D204" s="2" t="s">
        <v>18</v>
      </c>
      <c r="E204" s="2" t="s">
        <v>36</v>
      </c>
      <c r="F204" s="2" t="n">
        <v>1</v>
      </c>
      <c r="G204" s="3" t="n">
        <v>3190</v>
      </c>
      <c r="H204" s="3" t="n">
        <f aca="false">F204*G204</f>
        <v>3190</v>
      </c>
    </row>
    <row r="205" customFormat="false" ht="15" hidden="false" customHeight="false" outlineLevel="0" collapsed="false">
      <c r="A205" s="2" t="n">
        <v>1042</v>
      </c>
      <c r="B205" s="2" t="s">
        <v>157</v>
      </c>
      <c r="C205" s="2" t="s">
        <v>27</v>
      </c>
      <c r="D205" s="2" t="s">
        <v>18</v>
      </c>
      <c r="E205" s="2" t="s">
        <v>11</v>
      </c>
      <c r="F205" s="2" t="n">
        <v>1</v>
      </c>
      <c r="G205" s="3" t="n">
        <v>5820</v>
      </c>
      <c r="H205" s="3" t="n">
        <f aca="false">F205*G205</f>
        <v>5820</v>
      </c>
    </row>
    <row r="206" customFormat="false" ht="15" hidden="false" customHeight="false" outlineLevel="0" collapsed="false">
      <c r="A206" s="2" t="n">
        <v>1133</v>
      </c>
      <c r="B206" s="2" t="s">
        <v>157</v>
      </c>
      <c r="C206" s="2" t="s">
        <v>57</v>
      </c>
      <c r="D206" s="2" t="s">
        <v>22</v>
      </c>
      <c r="E206" s="2" t="s">
        <v>25</v>
      </c>
      <c r="F206" s="2" t="n">
        <v>2</v>
      </c>
      <c r="G206" s="3" t="n">
        <v>240</v>
      </c>
      <c r="H206" s="3" t="n">
        <f aca="false">F206*G206</f>
        <v>480</v>
      </c>
    </row>
    <row r="207" customFormat="false" ht="15" hidden="false" customHeight="false" outlineLevel="0" collapsed="false">
      <c r="A207" s="2" t="n">
        <v>1015</v>
      </c>
      <c r="B207" s="2" t="s">
        <v>158</v>
      </c>
      <c r="C207" s="2" t="s">
        <v>9</v>
      </c>
      <c r="D207" s="2" t="s">
        <v>10</v>
      </c>
      <c r="E207" s="2" t="s">
        <v>36</v>
      </c>
      <c r="F207" s="2" t="n">
        <v>1</v>
      </c>
      <c r="G207" s="3" t="n">
        <v>110</v>
      </c>
      <c r="H207" s="3" t="n">
        <f aca="false">F207*G207</f>
        <v>110</v>
      </c>
    </row>
    <row r="208" customFormat="false" ht="15" hidden="false" customHeight="false" outlineLevel="0" collapsed="false">
      <c r="A208" s="2" t="n">
        <v>1140</v>
      </c>
      <c r="B208" s="2" t="s">
        <v>158</v>
      </c>
      <c r="C208" s="2" t="s">
        <v>37</v>
      </c>
      <c r="D208" s="2" t="s">
        <v>38</v>
      </c>
      <c r="E208" s="2" t="s">
        <v>19</v>
      </c>
      <c r="F208" s="2" t="n">
        <v>3</v>
      </c>
      <c r="G208" s="3" t="n">
        <v>360</v>
      </c>
      <c r="H208" s="3" t="n">
        <f aca="false">F208*G208</f>
        <v>1080</v>
      </c>
    </row>
    <row r="209" customFormat="false" ht="15" hidden="false" customHeight="false" outlineLevel="0" collapsed="false">
      <c r="A209" s="2" t="n">
        <v>1117</v>
      </c>
      <c r="B209" s="2" t="s">
        <v>159</v>
      </c>
      <c r="C209" s="2" t="s">
        <v>37</v>
      </c>
      <c r="D209" s="2" t="s">
        <v>38</v>
      </c>
      <c r="E209" s="2" t="s">
        <v>15</v>
      </c>
      <c r="F209" s="2" t="n">
        <v>2</v>
      </c>
      <c r="G209" s="3" t="n">
        <v>400</v>
      </c>
      <c r="H209" s="3" t="n">
        <f aca="false">F209*G209</f>
        <v>800</v>
      </c>
    </row>
    <row r="210" customFormat="false" ht="15" hidden="false" customHeight="false" outlineLevel="0" collapsed="false">
      <c r="A210" s="2" t="n">
        <v>1209</v>
      </c>
      <c r="B210" s="2" t="s">
        <v>160</v>
      </c>
      <c r="C210" s="2" t="s">
        <v>9</v>
      </c>
      <c r="D210" s="2" t="s">
        <v>10</v>
      </c>
      <c r="E210" s="2" t="s">
        <v>19</v>
      </c>
      <c r="F210" s="2" t="n">
        <v>2</v>
      </c>
      <c r="G210" s="3" t="n">
        <v>140</v>
      </c>
      <c r="H210" s="3" t="n">
        <f aca="false">F210*G210</f>
        <v>280</v>
      </c>
    </row>
    <row r="211" customFormat="false" ht="15" hidden="false" customHeight="false" outlineLevel="0" collapsed="false">
      <c r="A211" s="2" t="n">
        <v>1093</v>
      </c>
      <c r="B211" s="2" t="s">
        <v>161</v>
      </c>
      <c r="C211" s="2" t="s">
        <v>30</v>
      </c>
      <c r="D211" s="2" t="s">
        <v>18</v>
      </c>
      <c r="E211" s="2" t="s">
        <v>25</v>
      </c>
      <c r="F211" s="2" t="n">
        <v>1</v>
      </c>
      <c r="G211" s="3" t="n">
        <v>3190</v>
      </c>
      <c r="H211" s="3" t="n">
        <f aca="false">F211*G211</f>
        <v>3190</v>
      </c>
    </row>
    <row r="212" customFormat="false" ht="15" hidden="false" customHeight="false" outlineLevel="0" collapsed="false">
      <c r="A212" s="2" t="n">
        <v>1096</v>
      </c>
      <c r="B212" s="2" t="s">
        <v>162</v>
      </c>
      <c r="C212" s="2" t="s">
        <v>27</v>
      </c>
      <c r="D212" s="2" t="s">
        <v>18</v>
      </c>
      <c r="E212" s="2" t="s">
        <v>25</v>
      </c>
      <c r="F212" s="2" t="n">
        <v>2</v>
      </c>
      <c r="G212" s="3" t="n">
        <v>5780</v>
      </c>
      <c r="H212" s="3" t="n">
        <f aca="false">F212*G212</f>
        <v>11560</v>
      </c>
    </row>
    <row r="213" customFormat="false" ht="15" hidden="false" customHeight="false" outlineLevel="0" collapsed="false">
      <c r="A213" s="2" t="n">
        <v>1143</v>
      </c>
      <c r="B213" s="2" t="s">
        <v>162</v>
      </c>
      <c r="C213" s="2" t="s">
        <v>37</v>
      </c>
      <c r="D213" s="2" t="s">
        <v>38</v>
      </c>
      <c r="E213" s="2" t="s">
        <v>25</v>
      </c>
      <c r="F213" s="2" t="n">
        <v>1</v>
      </c>
      <c r="G213" s="3" t="n">
        <v>380</v>
      </c>
      <c r="H213" s="3" t="n">
        <f aca="false">F213*G213</f>
        <v>380</v>
      </c>
    </row>
    <row r="214" customFormat="false" ht="15" hidden="false" customHeight="false" outlineLevel="0" collapsed="false">
      <c r="A214" s="2" t="n">
        <v>1127</v>
      </c>
      <c r="B214" s="2" t="s">
        <v>163</v>
      </c>
      <c r="C214" s="2" t="s">
        <v>13</v>
      </c>
      <c r="D214" s="2" t="s">
        <v>14</v>
      </c>
      <c r="E214" s="2" t="s">
        <v>36</v>
      </c>
      <c r="F214" s="2" t="n">
        <v>2</v>
      </c>
      <c r="G214" s="3" t="n">
        <v>60</v>
      </c>
      <c r="H214" s="3" t="n">
        <f aca="false">F214*G214</f>
        <v>120</v>
      </c>
    </row>
    <row r="215" customFormat="false" ht="15" hidden="false" customHeight="false" outlineLevel="0" collapsed="false">
      <c r="A215" s="2" t="n">
        <v>1129</v>
      </c>
      <c r="B215" s="2" t="s">
        <v>163</v>
      </c>
      <c r="C215" s="2" t="s">
        <v>21</v>
      </c>
      <c r="D215" s="2" t="s">
        <v>22</v>
      </c>
      <c r="E215" s="2" t="s">
        <v>19</v>
      </c>
      <c r="F215" s="2" t="n">
        <v>3</v>
      </c>
      <c r="G215" s="3" t="n">
        <v>200</v>
      </c>
      <c r="H215" s="3" t="n">
        <f aca="false">F215*G215</f>
        <v>600</v>
      </c>
    </row>
    <row r="216" customFormat="false" ht="15" hidden="false" customHeight="false" outlineLevel="0" collapsed="false">
      <c r="A216" s="2" t="n">
        <v>1081</v>
      </c>
      <c r="B216" s="2" t="s">
        <v>164</v>
      </c>
      <c r="C216" s="2" t="s">
        <v>41</v>
      </c>
      <c r="D216" s="2" t="s">
        <v>38</v>
      </c>
      <c r="E216" s="2" t="s">
        <v>19</v>
      </c>
      <c r="F216" s="2" t="n">
        <v>2</v>
      </c>
      <c r="G216" s="3" t="n">
        <v>75</v>
      </c>
      <c r="H216" s="3" t="n">
        <f aca="false">F216*G216</f>
        <v>150</v>
      </c>
    </row>
    <row r="217" customFormat="false" ht="15" hidden="false" customHeight="false" outlineLevel="0" collapsed="false">
      <c r="A217" s="2" t="n">
        <v>1109</v>
      </c>
      <c r="B217" s="2" t="s">
        <v>164</v>
      </c>
      <c r="C217" s="2" t="s">
        <v>57</v>
      </c>
      <c r="D217" s="2" t="s">
        <v>22</v>
      </c>
      <c r="E217" s="2" t="s">
        <v>25</v>
      </c>
      <c r="F217" s="2" t="n">
        <v>3</v>
      </c>
      <c r="G217" s="3" t="n">
        <v>240</v>
      </c>
      <c r="H217" s="3" t="n">
        <f aca="false">F217*G217</f>
        <v>720</v>
      </c>
    </row>
    <row r="218" customFormat="false" ht="15" hidden="false" customHeight="false" outlineLevel="0" collapsed="false">
      <c r="A218" s="2" t="n">
        <v>1163</v>
      </c>
      <c r="B218" s="2" t="s">
        <v>164</v>
      </c>
      <c r="C218" s="2" t="s">
        <v>17</v>
      </c>
      <c r="D218" s="2" t="s">
        <v>18</v>
      </c>
      <c r="E218" s="2" t="s">
        <v>15</v>
      </c>
      <c r="F218" s="2" t="n">
        <v>2</v>
      </c>
      <c r="G218" s="3" t="n">
        <v>330</v>
      </c>
      <c r="H218" s="3" t="n">
        <f aca="false">F218*G218</f>
        <v>660</v>
      </c>
    </row>
    <row r="219" customFormat="false" ht="15" hidden="false" customHeight="false" outlineLevel="0" collapsed="false">
      <c r="A219" s="2" t="n">
        <v>1008</v>
      </c>
      <c r="B219" s="2" t="s">
        <v>165</v>
      </c>
      <c r="C219" s="2" t="s">
        <v>30</v>
      </c>
      <c r="D219" s="2" t="s">
        <v>18</v>
      </c>
      <c r="E219" s="2" t="s">
        <v>11</v>
      </c>
      <c r="F219" s="2" t="n">
        <v>1</v>
      </c>
      <c r="G219" s="3" t="n">
        <v>3220</v>
      </c>
      <c r="H219" s="3" t="n">
        <f aca="false">F219*G219</f>
        <v>3220</v>
      </c>
    </row>
    <row r="220" customFormat="false" ht="15" hidden="false" customHeight="false" outlineLevel="0" collapsed="false">
      <c r="A220" s="2" t="n">
        <v>1022</v>
      </c>
      <c r="B220" s="2" t="s">
        <v>166</v>
      </c>
      <c r="C220" s="2" t="s">
        <v>30</v>
      </c>
      <c r="D220" s="2" t="s">
        <v>18</v>
      </c>
      <c r="E220" s="2" t="s">
        <v>15</v>
      </c>
      <c r="F220" s="2" t="n">
        <v>1</v>
      </c>
      <c r="G220" s="3" t="n">
        <v>3200</v>
      </c>
      <c r="H220" s="3" t="n">
        <f aca="false">F220*G220</f>
        <v>3200</v>
      </c>
    </row>
    <row r="221" customFormat="false" ht="15" hidden="false" customHeight="false" outlineLevel="0" collapsed="false">
      <c r="A221" s="2" t="n">
        <v>1166</v>
      </c>
      <c r="B221" s="2" t="s">
        <v>166</v>
      </c>
      <c r="C221" s="2" t="s">
        <v>21</v>
      </c>
      <c r="D221" s="2" t="s">
        <v>22</v>
      </c>
      <c r="E221" s="2" t="s">
        <v>15</v>
      </c>
      <c r="F221" s="2" t="n">
        <v>1</v>
      </c>
      <c r="G221" s="3" t="n">
        <v>190</v>
      </c>
      <c r="H221" s="3" t="n">
        <f aca="false">F221*G221</f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0"/>
  </cols>
  <sheetData>
    <row r="1" customFormat="false" ht="18.65" hidden="false" customHeight="false" outlineLevel="0" collapsed="false">
      <c r="A1" s="4" t="s">
        <v>167</v>
      </c>
      <c r="B1" s="4"/>
      <c r="C1" s="4"/>
      <c r="D1" s="4"/>
    </row>
    <row r="2" customFormat="false" ht="12.65" hidden="false" customHeight="false" outlineLevel="0" collapsed="false">
      <c r="A2" s="5" t="s">
        <v>168</v>
      </c>
      <c r="B2" s="5"/>
      <c r="C2" s="5"/>
      <c r="D2" s="5"/>
    </row>
    <row r="3" customFormat="false" ht="15" hidden="false" customHeight="false" outlineLevel="0" collapsed="false">
      <c r="A3" s="6"/>
      <c r="B3" s="6"/>
      <c r="C3" s="6"/>
      <c r="D3" s="6"/>
    </row>
    <row r="4" customFormat="false" ht="15" hidden="false" customHeight="false" outlineLevel="0" collapsed="false">
      <c r="A4" s="7" t="s">
        <v>169</v>
      </c>
      <c r="B4" s="6"/>
      <c r="C4" s="6"/>
      <c r="D4" s="6"/>
    </row>
    <row r="5" customFormat="false" ht="15" hidden="false" customHeight="false" outlineLevel="0" collapsed="false">
      <c r="A5" s="8" t="s">
        <v>3</v>
      </c>
      <c r="B5" s="8" t="s">
        <v>170</v>
      </c>
      <c r="C5" s="8" t="s">
        <v>171</v>
      </c>
      <c r="D5" s="6"/>
    </row>
    <row r="6" customFormat="false" ht="15" hidden="false" customHeight="false" outlineLevel="0" collapsed="false">
      <c r="A6" s="2" t="s">
        <v>18</v>
      </c>
      <c r="B6" s="3" t="n">
        <f aca="false">SUMIFS(البيانات_الخام!$H$2:$H$221,البيانات_الخام!$D$2:$D$221,A6)</f>
        <v>280130</v>
      </c>
      <c r="C6" s="2" t="n">
        <f aca="false">COUNTIF(البيانات_الخام!$D$2:$D$221,A6)</f>
        <v>75</v>
      </c>
      <c r="D6" s="6"/>
    </row>
    <row r="7" customFormat="false" ht="15" hidden="false" customHeight="false" outlineLevel="0" collapsed="false">
      <c r="A7" s="2" t="s">
        <v>10</v>
      </c>
      <c r="B7" s="3" t="n">
        <f aca="false">SUMIFS(البيانات_الخام!$H$2:$H$221,البيانات_الخام!$D$2:$D$221,A7)</f>
        <v>20220</v>
      </c>
      <c r="C7" s="2" t="n">
        <f aca="false">COUNTIF(البيانات_الخام!$D$2:$D$221,A7)</f>
        <v>50</v>
      </c>
      <c r="D7" s="6"/>
    </row>
    <row r="8" customFormat="false" ht="15" hidden="false" customHeight="false" outlineLevel="0" collapsed="false">
      <c r="A8" s="2" t="s">
        <v>22</v>
      </c>
      <c r="B8" s="3" t="n">
        <f aca="false">SUMIFS(البيانات_الخام!$H$2:$H$221,البيانات_الخام!$D$2:$D$221,A8)</f>
        <v>12190</v>
      </c>
      <c r="C8" s="2" t="n">
        <f aca="false">COUNTIF(البيانات_الخام!$D$2:$D$221,A8)</f>
        <v>37</v>
      </c>
      <c r="D8" s="6"/>
    </row>
    <row r="9" customFormat="false" ht="15" hidden="false" customHeight="false" outlineLevel="0" collapsed="false">
      <c r="A9" s="2" t="s">
        <v>38</v>
      </c>
      <c r="B9" s="3" t="n">
        <f aca="false">SUMIFS(البيانات_الخام!$H$2:$H$221,البيانات_الخام!$D$2:$D$221,A9)</f>
        <v>12875</v>
      </c>
      <c r="C9" s="2" t="n">
        <f aca="false">COUNTIF(البيانات_الخام!$D$2:$D$221,A9)</f>
        <v>34</v>
      </c>
      <c r="D9" s="6"/>
    </row>
    <row r="10" customFormat="false" ht="15" hidden="false" customHeight="false" outlineLevel="0" collapsed="false">
      <c r="A10" s="2" t="s">
        <v>14</v>
      </c>
      <c r="B10" s="3" t="n">
        <f aca="false">SUMIFS(البيانات_الخام!$H$2:$H$221,البيانات_الخام!$D$2:$D$221,A10)</f>
        <v>2350</v>
      </c>
      <c r="C10" s="2" t="n">
        <f aca="false">COUNTIF(البيانات_الخام!$D$2:$D$221,A10)</f>
        <v>24</v>
      </c>
      <c r="D10" s="6"/>
    </row>
    <row r="11" customFormat="false" ht="15" hidden="false" customHeight="false" outlineLevel="0" collapsed="false">
      <c r="A11" s="9" t="s">
        <v>7</v>
      </c>
      <c r="B11" s="10" t="n">
        <f aca="false">SUM(B6:B10)</f>
        <v>327765</v>
      </c>
      <c r="C11" s="9" t="n">
        <f aca="false">SUM(C6:C10)</f>
        <v>220</v>
      </c>
      <c r="D11" s="6"/>
    </row>
    <row r="12" customFormat="false" ht="15" hidden="false" customHeight="false" outlineLevel="0" collapsed="false">
      <c r="A12" s="6"/>
      <c r="B12" s="6"/>
      <c r="C12" s="6"/>
      <c r="D12" s="6"/>
    </row>
    <row r="13" customFormat="false" ht="15" hidden="false" customHeight="false" outlineLevel="0" collapsed="false">
      <c r="A13" s="7" t="s">
        <v>172</v>
      </c>
      <c r="B13" s="6"/>
      <c r="C13" s="6"/>
      <c r="D13" s="6"/>
    </row>
    <row r="14" customFormat="false" ht="15" hidden="false" customHeight="false" outlineLevel="0" collapsed="false">
      <c r="A14" s="8" t="s">
        <v>4</v>
      </c>
      <c r="B14" s="8" t="s">
        <v>170</v>
      </c>
      <c r="C14" s="6"/>
      <c r="D14" s="6"/>
    </row>
    <row r="15" customFormat="false" ht="15" hidden="false" customHeight="false" outlineLevel="0" collapsed="false">
      <c r="A15" s="2" t="s">
        <v>36</v>
      </c>
      <c r="B15" s="3" t="n">
        <f aca="false">SUMIFS(البيانات_الخام!$H$2:$H$221,البيانات_الخام!$E$2:$E$221,A15)</f>
        <v>68620</v>
      </c>
      <c r="C15" s="6"/>
      <c r="D15" s="6"/>
    </row>
    <row r="16" customFormat="false" ht="15" hidden="false" customHeight="false" outlineLevel="0" collapsed="false">
      <c r="A16" s="2" t="s">
        <v>25</v>
      </c>
      <c r="B16" s="3" t="n">
        <f aca="false">SUMIFS(البيانات_الخام!$H$2:$H$221,البيانات_الخام!$E$2:$E$221,A16)</f>
        <v>67255</v>
      </c>
      <c r="C16" s="6"/>
      <c r="D16" s="6"/>
    </row>
    <row r="17" customFormat="false" ht="15" hidden="false" customHeight="false" outlineLevel="0" collapsed="false">
      <c r="A17" s="2" t="s">
        <v>15</v>
      </c>
      <c r="B17" s="3" t="n">
        <f aca="false">SUMIFS(البيانات_الخام!$H$2:$H$221,البيانات_الخام!$E$2:$E$221,A17)</f>
        <v>45610</v>
      </c>
      <c r="C17" s="6"/>
      <c r="D17" s="6"/>
    </row>
    <row r="18" customFormat="false" ht="15" hidden="false" customHeight="false" outlineLevel="0" collapsed="false">
      <c r="A18" s="2" t="s">
        <v>11</v>
      </c>
      <c r="B18" s="3" t="n">
        <f aca="false">SUMIFS(البيانات_الخام!$H$2:$H$221,البيانات_الخام!$E$2:$E$221,A18)</f>
        <v>87800</v>
      </c>
      <c r="C18" s="6"/>
      <c r="D18" s="6"/>
    </row>
    <row r="19" customFormat="false" ht="15" hidden="false" customHeight="false" outlineLevel="0" collapsed="false">
      <c r="A19" s="2" t="s">
        <v>19</v>
      </c>
      <c r="B19" s="3" t="n">
        <f aca="false">SUMIFS(البيانات_الخام!$H$2:$H$221,البيانات_الخام!$E$2:$E$221,A19)</f>
        <v>58480</v>
      </c>
      <c r="C19" s="6"/>
      <c r="D19" s="6"/>
    </row>
    <row r="20" customFormat="false" ht="15" hidden="false" customHeight="false" outlineLevel="0" collapsed="false">
      <c r="A20" s="6"/>
      <c r="B20" s="6"/>
      <c r="C20" s="6"/>
      <c r="D20" s="6"/>
    </row>
    <row r="21" customFormat="false" ht="15" hidden="false" customHeight="false" outlineLevel="0" collapsed="false">
      <c r="A21" s="6"/>
      <c r="B21" s="6"/>
      <c r="C21" s="6"/>
      <c r="D21" s="6"/>
    </row>
    <row r="22" customFormat="false" ht="15" hidden="false" customHeight="false" outlineLevel="0" collapsed="false">
      <c r="A22" s="7" t="s">
        <v>173</v>
      </c>
      <c r="B22" s="6"/>
      <c r="C22" s="6"/>
      <c r="D22" s="6"/>
    </row>
    <row r="23" customFormat="false" ht="15" hidden="false" customHeight="false" outlineLevel="0" collapsed="false">
      <c r="A23" s="2" t="s">
        <v>174</v>
      </c>
      <c r="B23" s="3" t="n">
        <f aca="false">SUM(البيانات_الخام!$H$2:$H$221)</f>
        <v>327765</v>
      </c>
      <c r="C23" s="6"/>
      <c r="D23" s="6"/>
    </row>
    <row r="24" customFormat="false" ht="15" hidden="false" customHeight="false" outlineLevel="0" collapsed="false">
      <c r="A24" s="2" t="s">
        <v>171</v>
      </c>
      <c r="B24" s="2" t="n">
        <f aca="false">COUNTA(البيانات_الخام!$A$2:$A$221)</f>
        <v>220</v>
      </c>
      <c r="C24" s="6"/>
      <c r="D24" s="6"/>
    </row>
    <row r="25" customFormat="false" ht="15" hidden="false" customHeight="false" outlineLevel="0" collapsed="false">
      <c r="A25" s="2" t="s">
        <v>175</v>
      </c>
      <c r="B25" s="3" t="n">
        <f aca="false">B23/B24</f>
        <v>1489.84090909091</v>
      </c>
      <c r="C25" s="6"/>
      <c r="D25" s="6"/>
    </row>
    <row r="26" customFormat="false" ht="15" hidden="false" customHeight="false" outlineLevel="0" collapsed="false">
      <c r="A26" s="2" t="s">
        <v>176</v>
      </c>
      <c r="B26" s="2" t="str">
        <f aca="false">INDEX(A6:A10,MATCH(MAX(B6:B10),B6:B10,0))</f>
        <v>إلكترونيات</v>
      </c>
      <c r="C26" s="6"/>
      <c r="D26" s="6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9.7" hidden="false" customHeight="false" outlineLevel="0" collapsed="false">
      <c r="A1" s="4" t="s">
        <v>177</v>
      </c>
      <c r="B1" s="4"/>
    </row>
    <row r="2" customFormat="false" ht="15" hidden="false" customHeight="false" outlineLevel="0" collapsed="false">
      <c r="A2" s="6"/>
      <c r="B2" s="6"/>
    </row>
    <row r="3" customFormat="false" ht="15" hidden="false" customHeight="false" outlineLevel="0" collapsed="false">
      <c r="A3" s="11" t="s">
        <v>178</v>
      </c>
      <c r="B3" s="6"/>
    </row>
    <row r="4" customFormat="false" ht="15" hidden="false" customHeight="false" outlineLevel="0" collapsed="false">
      <c r="A4" s="11"/>
      <c r="B4" s="6"/>
    </row>
    <row r="5" customFormat="false" ht="15" hidden="false" customHeight="false" outlineLevel="0" collapsed="false">
      <c r="A5" s="11" t="s">
        <v>179</v>
      </c>
      <c r="B5" s="6"/>
    </row>
    <row r="6" customFormat="false" ht="15" hidden="false" customHeight="false" outlineLevel="0" collapsed="false">
      <c r="A6" s="11" t="s">
        <v>180</v>
      </c>
      <c r="B6" s="6"/>
    </row>
    <row r="7" customFormat="false" ht="15" hidden="false" customHeight="false" outlineLevel="0" collapsed="false">
      <c r="A7" s="11" t="s">
        <v>181</v>
      </c>
      <c r="B7" s="6"/>
    </row>
    <row r="8" customFormat="false" ht="15" hidden="false" customHeight="false" outlineLevel="0" collapsed="false">
      <c r="A8" s="11" t="s">
        <v>182</v>
      </c>
      <c r="B8" s="6"/>
    </row>
    <row r="9" customFormat="false" ht="15" hidden="false" customHeight="false" outlineLevel="0" collapsed="false">
      <c r="A9" s="11"/>
      <c r="B9" s="6"/>
    </row>
    <row r="10" customFormat="false" ht="15" hidden="false" customHeight="false" outlineLevel="0" collapsed="false">
      <c r="A10" s="11" t="s">
        <v>183</v>
      </c>
      <c r="B10" s="6"/>
    </row>
    <row r="11" customFormat="false" ht="15" hidden="false" customHeight="false" outlineLevel="0" collapsed="false">
      <c r="A11" s="11" t="s">
        <v>184</v>
      </c>
      <c r="B11" s="6"/>
    </row>
    <row r="12" customFormat="false" ht="15" hidden="false" customHeight="false" outlineLevel="0" collapsed="false">
      <c r="A12" s="11" t="s">
        <v>185</v>
      </c>
      <c r="B12" s="6"/>
    </row>
    <row r="13" customFormat="false" ht="15" hidden="false" customHeight="false" outlineLevel="0" collapsed="false">
      <c r="A13" s="11"/>
      <c r="B13" s="6"/>
    </row>
    <row r="14" customFormat="false" ht="15" hidden="false" customHeight="false" outlineLevel="0" collapsed="false">
      <c r="A14" s="11" t="s">
        <v>186</v>
      </c>
      <c r="B14" s="6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2026-08-04T13:06:10Z</dcterms:created>
  <dc:creator>openpyxl</dc:creator>
  <dc:description/>
  <dc:language>en-US</dc:language>
  <cp:lastModifiedBy/>
  <dcterms:modified xsi:type="dcterms:W3CDTF">2026-08-04T13:06:23Z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